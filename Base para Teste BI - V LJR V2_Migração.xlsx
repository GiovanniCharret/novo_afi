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t027154581\Downloads\"/>
    </mc:Choice>
  </mc:AlternateContent>
  <xr:revisionPtr revIDLastSave="1" documentId="13_ncr:1_{8921E817-41B1-423E-987F-861AACD69160}" xr6:coauthVersionLast="47" xr6:coauthVersionMax="47" xr10:uidLastSave="{34CBC864-0C77-400E-AFAF-9A6513F49AB2}"/>
  <bookViews>
    <workbookView xWindow="25080" yWindow="-120" windowWidth="25440" windowHeight="15270" firstSheet="4" activeTab="4" xr2:uid="{6052888E-5442-4B92-9503-1602EBC04046}"/>
  </bookViews>
  <sheets>
    <sheet name="Planilha1" sheetId="3" state="hidden" r:id="rId1"/>
    <sheet name="Base ENBPar" sheetId="5" state="hidden" r:id="rId2"/>
    <sheet name="Planilha3" sheetId="8" r:id="rId3"/>
    <sheet name="Dinamica CDE" sheetId="9" r:id="rId4"/>
    <sheet name="Liberações" sheetId="1" r:id="rId5"/>
    <sheet name="Planilha2" sheetId="4" state="hidden" r:id="rId6"/>
    <sheet name="Devolução" sheetId="2" state="hidden" r:id="rId7"/>
  </sheets>
  <definedNames>
    <definedName name="_xlnm._FilterDatabase" localSheetId="1" hidden="1">'Base ENBPar'!$A$1:$B$46</definedName>
    <definedName name="_xlnm._FilterDatabase" localSheetId="6" hidden="1">Devolução!$A$1:$Q$128</definedName>
    <definedName name="_xlnm._FilterDatabase" localSheetId="4" hidden="1">Liberações!$A$1:$AQ$339</definedName>
    <definedName name="_xlnm._FilterDatabase" localSheetId="5" hidden="1">Planilha2!$A$1:$A$194</definedName>
  </definedNames>
  <calcPr calcId="191028"/>
  <pivotCaches>
    <pivotCache cacheId="1200" r:id="rId8"/>
    <pivotCache cacheId="120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3" i="9" l="1"/>
  <c r="E112" i="9"/>
  <c r="AE251" i="1"/>
  <c r="AE243" i="1"/>
  <c r="AE234" i="1"/>
  <c r="AE227" i="1"/>
  <c r="AE211" i="1"/>
  <c r="AE193" i="1"/>
  <c r="AE97" i="1"/>
  <c r="AE91" i="1"/>
  <c r="AE85" i="1"/>
  <c r="AE74" i="1"/>
  <c r="AE54" i="1"/>
  <c r="AE40" i="1"/>
  <c r="AH251" i="1"/>
  <c r="AH248" i="1"/>
  <c r="AH243" i="1"/>
  <c r="AH234" i="1"/>
  <c r="AH227" i="1"/>
  <c r="AH211" i="1"/>
  <c r="AH193" i="1"/>
  <c r="AH97" i="1"/>
  <c r="AH91" i="1"/>
  <c r="AH85" i="1"/>
  <c r="AH74" i="1"/>
  <c r="AH54" i="1"/>
  <c r="AH40" i="1"/>
  <c r="AF40" i="1"/>
  <c r="AF227" i="1"/>
  <c r="AG74" i="1"/>
  <c r="Z74" i="1"/>
  <c r="AI74" i="1" s="1"/>
  <c r="Z227" i="1"/>
  <c r="AG193" i="1"/>
  <c r="AG97" i="1"/>
  <c r="Z97" i="1"/>
  <c r="AI97" i="1" s="1"/>
  <c r="Z193" i="1"/>
  <c r="Y339" i="1"/>
  <c r="Y338" i="1"/>
  <c r="AN339" i="1"/>
  <c r="AK339" i="1"/>
  <c r="U339" i="1"/>
  <c r="S339" i="1"/>
  <c r="AN338" i="1"/>
  <c r="AK338" i="1"/>
  <c r="AC339" i="1"/>
  <c r="U338" i="1"/>
  <c r="S338" i="1"/>
  <c r="I339" i="1"/>
  <c r="J339" i="1" s="1"/>
  <c r="J338" i="1"/>
  <c r="AC338" i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4" i="9"/>
  <c r="E2" i="9"/>
  <c r="Z40" i="1"/>
  <c r="Z211" i="1"/>
  <c r="AI40" i="1"/>
  <c r="AJ281" i="1"/>
  <c r="AM281" i="1"/>
  <c r="AM277" i="1"/>
  <c r="AM250" i="1"/>
  <c r="AJ277" i="1"/>
  <c r="AJ250" i="1"/>
  <c r="AM248" i="1"/>
  <c r="AJ248" i="1"/>
  <c r="AJ85" i="1"/>
  <c r="AM85" i="1"/>
  <c r="AJ149" i="1"/>
  <c r="AM149" i="1"/>
  <c r="AJ299" i="1"/>
  <c r="AJ283" i="1"/>
  <c r="AJ243" i="1"/>
  <c r="AJ143" i="1"/>
  <c r="AM299" i="1"/>
  <c r="AM283" i="1"/>
  <c r="AM243" i="1"/>
  <c r="AM143" i="1"/>
  <c r="AJ108" i="1"/>
  <c r="AM108" i="1"/>
  <c r="AJ291" i="1"/>
  <c r="AM291" i="1"/>
  <c r="AJ74" i="1"/>
  <c r="AM74" i="1"/>
  <c r="AM302" i="1"/>
  <c r="AM271" i="1"/>
  <c r="AM234" i="1"/>
  <c r="AM155" i="1"/>
  <c r="AJ302" i="1"/>
  <c r="AJ271" i="1"/>
  <c r="AJ234" i="1"/>
  <c r="AJ155" i="1"/>
  <c r="AJ251" i="1"/>
  <c r="AM251" i="1"/>
  <c r="AJ54" i="1"/>
  <c r="AM54" i="1"/>
  <c r="AM129" i="1"/>
  <c r="AJ129" i="1"/>
  <c r="AM279" i="1"/>
  <c r="AJ279" i="1"/>
  <c r="AM227" i="1"/>
  <c r="AJ227" i="1"/>
  <c r="AM40" i="1"/>
  <c r="AJ40" i="1"/>
  <c r="AC240" i="1"/>
  <c r="Y240" i="1"/>
  <c r="U240" i="1"/>
  <c r="S240" i="1"/>
  <c r="AC239" i="1"/>
  <c r="Y239" i="1"/>
  <c r="U239" i="1"/>
  <c r="S239" i="1"/>
  <c r="J240" i="1"/>
  <c r="J239" i="1"/>
  <c r="AC288" i="1"/>
  <c r="Y288" i="1"/>
  <c r="U288" i="1"/>
  <c r="S288" i="1"/>
  <c r="AC287" i="1"/>
  <c r="Y287" i="1"/>
  <c r="U287" i="1"/>
  <c r="S287" i="1"/>
  <c r="AC286" i="1"/>
  <c r="Y286" i="1"/>
  <c r="U286" i="1"/>
  <c r="S286" i="1"/>
  <c r="J288" i="1"/>
  <c r="J287" i="1"/>
  <c r="J286" i="1"/>
  <c r="J204" i="1"/>
  <c r="J203" i="1"/>
  <c r="AC204" i="1"/>
  <c r="Y204" i="1"/>
  <c r="U204" i="1"/>
  <c r="S204" i="1"/>
  <c r="AC203" i="1"/>
  <c r="Y203" i="1"/>
  <c r="U203" i="1"/>
  <c r="S203" i="1"/>
  <c r="J154" i="1"/>
  <c r="J153" i="1"/>
  <c r="J152" i="1"/>
  <c r="AC154" i="1"/>
  <c r="Y154" i="1"/>
  <c r="U154" i="1"/>
  <c r="S154" i="1"/>
  <c r="AC153" i="1"/>
  <c r="Y153" i="1"/>
  <c r="U153" i="1"/>
  <c r="S153" i="1"/>
  <c r="AC152" i="1"/>
  <c r="Y152" i="1"/>
  <c r="U152" i="1"/>
  <c r="S152" i="1"/>
  <c r="J148" i="1"/>
  <c r="J147" i="1"/>
  <c r="J146" i="1"/>
  <c r="AC148" i="1"/>
  <c r="Y148" i="1"/>
  <c r="U148" i="1"/>
  <c r="S148" i="1"/>
  <c r="AC147" i="1"/>
  <c r="Y147" i="1"/>
  <c r="U147" i="1"/>
  <c r="S147" i="1"/>
  <c r="AC146" i="1"/>
  <c r="Y146" i="1"/>
  <c r="U146" i="1"/>
  <c r="S146" i="1"/>
  <c r="J138" i="1"/>
  <c r="J137" i="1"/>
  <c r="AC138" i="1"/>
  <c r="Y138" i="1"/>
  <c r="U138" i="1"/>
  <c r="S138" i="1"/>
  <c r="AC137" i="1"/>
  <c r="Y137" i="1"/>
  <c r="U137" i="1"/>
  <c r="S137" i="1"/>
  <c r="J128" i="1"/>
  <c r="J127" i="1"/>
  <c r="J126" i="1"/>
  <c r="AC128" i="1"/>
  <c r="Y128" i="1"/>
  <c r="U128" i="1"/>
  <c r="S128" i="1"/>
  <c r="AC127" i="1"/>
  <c r="Y127" i="1"/>
  <c r="U127" i="1"/>
  <c r="S127" i="1"/>
  <c r="AC126" i="1"/>
  <c r="Y126" i="1"/>
  <c r="U126" i="1"/>
  <c r="S126" i="1"/>
  <c r="AC120" i="1"/>
  <c r="Y120" i="1"/>
  <c r="U120" i="1"/>
  <c r="S120" i="1"/>
  <c r="AC119" i="1"/>
  <c r="Y119" i="1"/>
  <c r="U119" i="1"/>
  <c r="S119" i="1"/>
  <c r="AC118" i="1"/>
  <c r="Y118" i="1"/>
  <c r="U118" i="1"/>
  <c r="S118" i="1"/>
  <c r="J120" i="1"/>
  <c r="J119" i="1"/>
  <c r="J118" i="1"/>
  <c r="J117" i="1"/>
  <c r="AC113" i="1"/>
  <c r="Y113" i="1"/>
  <c r="U113" i="1"/>
  <c r="S113" i="1"/>
  <c r="AC112" i="1"/>
  <c r="Y112" i="1"/>
  <c r="U112" i="1"/>
  <c r="S112" i="1"/>
  <c r="AC111" i="1"/>
  <c r="Y111" i="1"/>
  <c r="U111" i="1"/>
  <c r="S111" i="1"/>
  <c r="J111" i="1"/>
  <c r="J112" i="1"/>
  <c r="J113" i="1"/>
  <c r="J110" i="1"/>
  <c r="S110" i="1"/>
  <c r="U110" i="1"/>
  <c r="Y110" i="1"/>
  <c r="AC110" i="1"/>
  <c r="J223" i="1"/>
  <c r="AC223" i="1"/>
  <c r="Y223" i="1"/>
  <c r="U223" i="1"/>
  <c r="S223" i="1"/>
  <c r="J247" i="1"/>
  <c r="AC247" i="1"/>
  <c r="Y247" i="1"/>
  <c r="U247" i="1"/>
  <c r="S247" i="1"/>
  <c r="J261" i="1"/>
  <c r="AC261" i="1"/>
  <c r="Y261" i="1"/>
  <c r="U261" i="1"/>
  <c r="S261" i="1"/>
  <c r="AC274" i="1"/>
  <c r="Y274" i="1"/>
  <c r="U274" i="1"/>
  <c r="S274" i="1"/>
  <c r="J274" i="1"/>
  <c r="AC276" i="1"/>
  <c r="Y276" i="1"/>
  <c r="U276" i="1"/>
  <c r="S276" i="1"/>
  <c r="AC316" i="1"/>
  <c r="Y316" i="1"/>
  <c r="U316" i="1"/>
  <c r="S316" i="1"/>
  <c r="J316" i="1"/>
  <c r="J319" i="1"/>
  <c r="AC319" i="1"/>
  <c r="Y319" i="1"/>
  <c r="U319" i="1"/>
  <c r="S319" i="1"/>
  <c r="J325" i="1"/>
  <c r="AC325" i="1"/>
  <c r="Y325" i="1"/>
  <c r="U325" i="1"/>
  <c r="S325" i="1"/>
  <c r="J335" i="1"/>
  <c r="AC335" i="1"/>
  <c r="Y335" i="1"/>
  <c r="S335" i="1"/>
  <c r="J189" i="1"/>
  <c r="AC189" i="1"/>
  <c r="Y189" i="1"/>
  <c r="U189" i="1"/>
  <c r="S189" i="1"/>
  <c r="J179" i="1"/>
  <c r="AC179" i="1"/>
  <c r="Y179" i="1"/>
  <c r="U179" i="1"/>
  <c r="S179" i="1"/>
  <c r="J170" i="1"/>
  <c r="AC170" i="1"/>
  <c r="Y170" i="1"/>
  <c r="U170" i="1"/>
  <c r="S170" i="1"/>
  <c r="J160" i="1"/>
  <c r="J158" i="1"/>
  <c r="AC160" i="1"/>
  <c r="Y160" i="1"/>
  <c r="U160" i="1"/>
  <c r="S160" i="1"/>
  <c r="AC158" i="1"/>
  <c r="Y158" i="1"/>
  <c r="U158" i="1"/>
  <c r="S158" i="1"/>
  <c r="J141" i="1"/>
  <c r="AC141" i="1"/>
  <c r="Y141" i="1"/>
  <c r="U141" i="1"/>
  <c r="S141" i="1"/>
  <c r="J88" i="1"/>
  <c r="AC88" i="1"/>
  <c r="Y88" i="1"/>
  <c r="U88" i="1"/>
  <c r="S88" i="1"/>
  <c r="AI211" i="1" l="1"/>
  <c r="AG40" i="1"/>
  <c r="AG91" i="1"/>
  <c r="Z91" i="1"/>
  <c r="AG211" i="1"/>
  <c r="AI91" i="1" l="1"/>
  <c r="AI193" i="1"/>
  <c r="AM123" i="1"/>
  <c r="AJ123" i="1"/>
  <c r="AM121" i="1"/>
  <c r="AJ121" i="1"/>
  <c r="AM115" i="1"/>
  <c r="AJ115" i="1"/>
  <c r="AM211" i="1"/>
  <c r="AJ211" i="1"/>
  <c r="AM48" i="1"/>
  <c r="AJ48" i="1"/>
  <c r="AM91" i="1"/>
  <c r="AJ91" i="1"/>
  <c r="AM193" i="1"/>
  <c r="AJ193" i="1"/>
  <c r="AM97" i="1"/>
  <c r="AJ97" i="1"/>
  <c r="AM241" i="1"/>
  <c r="AJ241" i="1"/>
  <c r="AM264" i="1" l="1"/>
  <c r="AJ264" i="1"/>
  <c r="AJ103" i="1"/>
  <c r="AI108" i="1"/>
  <c r="AJ134" i="1"/>
  <c r="AJ139" i="1"/>
  <c r="AJ161" i="1"/>
  <c r="AJ163" i="1"/>
  <c r="AJ258" i="1"/>
  <c r="AJ268" i="1"/>
  <c r="AJ289" i="1"/>
  <c r="AJ293" i="1"/>
  <c r="AJ295" i="1"/>
  <c r="AJ297" i="1"/>
  <c r="AJ301" i="1"/>
  <c r="AM103" i="1"/>
  <c r="AM134" i="1"/>
  <c r="AM139" i="1"/>
  <c r="AM161" i="1"/>
  <c r="AM163" i="1"/>
  <c r="AM258" i="1"/>
  <c r="AM268" i="1"/>
  <c r="AM289" i="1"/>
  <c r="AM293" i="1"/>
  <c r="AM295" i="1"/>
  <c r="AM297" i="1"/>
  <c r="AM301" i="1"/>
  <c r="Z108" i="1"/>
  <c r="X251" i="1" l="1"/>
  <c r="Z251" i="1" s="1"/>
  <c r="AI227" i="1" l="1"/>
  <c r="AI251" i="1"/>
  <c r="AG227" i="1" l="1"/>
  <c r="AG251" i="1"/>
  <c r="V31" i="1"/>
  <c r="AI248" i="1"/>
  <c r="Z243" i="1"/>
  <c r="Z85" i="1"/>
  <c r="Z234" i="1"/>
  <c r="AF312" i="1"/>
  <c r="AG312" i="1" s="1"/>
  <c r="AF323" i="1"/>
  <c r="AG323" i="1" s="1"/>
  <c r="AF321" i="1"/>
  <c r="AG321" i="1" s="1"/>
  <c r="Z312" i="1"/>
  <c r="AE312" i="1" s="1"/>
  <c r="Z323" i="1"/>
  <c r="AE323" i="1" s="1"/>
  <c r="Z321" i="1"/>
  <c r="AE321" i="1" s="1"/>
  <c r="AF7" i="1"/>
  <c r="AG7" i="1" s="1"/>
  <c r="AF304" i="1"/>
  <c r="AG304" i="1" s="1"/>
  <c r="AF8" i="1"/>
  <c r="AG8" i="1" s="1"/>
  <c r="AF16" i="1"/>
  <c r="AG16" i="1" s="1"/>
  <c r="AF22" i="1"/>
  <c r="AG22" i="1" s="1"/>
  <c r="AF5" i="1"/>
  <c r="AG5" i="1" s="1"/>
  <c r="AF17" i="1"/>
  <c r="AG17" i="1" s="1"/>
  <c r="AF20" i="1"/>
  <c r="AG20" i="1" s="1"/>
  <c r="AF4" i="1"/>
  <c r="AG4" i="1" s="1"/>
  <c r="AF13" i="1"/>
  <c r="AG13" i="1" s="1"/>
  <c r="AF26" i="1"/>
  <c r="AG26" i="1" s="1"/>
  <c r="AF19" i="1"/>
  <c r="AG19" i="1" s="1"/>
  <c r="AF9" i="1"/>
  <c r="AG9" i="1" s="1"/>
  <c r="AF21" i="1"/>
  <c r="AG21" i="1" s="1"/>
  <c r="AF27" i="1"/>
  <c r="AG27" i="1" s="1"/>
  <c r="AF308" i="1"/>
  <c r="AG308" i="1" s="1"/>
  <c r="AF307" i="1"/>
  <c r="AG307" i="1" s="1"/>
  <c r="AF79" i="1"/>
  <c r="AG79" i="1" s="1"/>
  <c r="AF60" i="1"/>
  <c r="AG60" i="1" s="1"/>
  <c r="AF242" i="1"/>
  <c r="AG242" i="1" s="1"/>
  <c r="AF35" i="1"/>
  <c r="AG35" i="1" s="1"/>
  <c r="AF32" i="1"/>
  <c r="AG32" i="1" s="1"/>
  <c r="AF226" i="1"/>
  <c r="AG226" i="1" s="1"/>
  <c r="AF218" i="1"/>
  <c r="AG218" i="1" s="1"/>
  <c r="AF314" i="1"/>
  <c r="AG314" i="1" s="1"/>
  <c r="AF206" i="1"/>
  <c r="AG206" i="1" s="1"/>
  <c r="AF180" i="1"/>
  <c r="AG180" i="1" s="1"/>
  <c r="AF173" i="1"/>
  <c r="AG173" i="1" s="1"/>
  <c r="AF317" i="1"/>
  <c r="AG317" i="1" s="1"/>
  <c r="AF315" i="1"/>
  <c r="AG315" i="1" s="1"/>
  <c r="AF175" i="1"/>
  <c r="AG175" i="1" s="1"/>
  <c r="AF167" i="1"/>
  <c r="AG167" i="1" s="1"/>
  <c r="AF306" i="1"/>
  <c r="AG306" i="1" s="1"/>
  <c r="AF305" i="1"/>
  <c r="AG305" i="1" s="1"/>
  <c r="AF165" i="1"/>
  <c r="AG165" i="1" s="1"/>
  <c r="AG243" i="1"/>
  <c r="AG234" i="1"/>
  <c r="AG85" i="1"/>
  <c r="AI243" i="1" l="1"/>
  <c r="AG248" i="1"/>
  <c r="AC301" i="1" l="1"/>
  <c r="AC30" i="1"/>
  <c r="AC31" i="1"/>
  <c r="AC10" i="1"/>
  <c r="AC7" i="1"/>
  <c r="AC304" i="1"/>
  <c r="AC8" i="1"/>
  <c r="AC311" i="1"/>
  <c r="AC22" i="1"/>
  <c r="AC5" i="1"/>
  <c r="AC17" i="1"/>
  <c r="AC20" i="1"/>
  <c r="AC4" i="1"/>
  <c r="AC26" i="1"/>
  <c r="AC9" i="1"/>
  <c r="AC21" i="1"/>
  <c r="AC27" i="1"/>
  <c r="AC303" i="1"/>
  <c r="AC302" i="1"/>
  <c r="AC300" i="1"/>
  <c r="AC299" i="1"/>
  <c r="AC298" i="1"/>
  <c r="AC310" i="1"/>
  <c r="AC296" i="1"/>
  <c r="AC295" i="1"/>
  <c r="AC294" i="1"/>
  <c r="AC293" i="1"/>
  <c r="AC159" i="1"/>
  <c r="AC151" i="1"/>
  <c r="AC133" i="1"/>
  <c r="AC292" i="1"/>
  <c r="AC291" i="1"/>
  <c r="AC290" i="1"/>
  <c r="AC289" i="1"/>
  <c r="AC285" i="1"/>
  <c r="AC278" i="1"/>
  <c r="AC277" i="1"/>
  <c r="AC267" i="1"/>
  <c r="AC145" i="1"/>
  <c r="AC309" i="1"/>
  <c r="AC136" i="1"/>
  <c r="AC132" i="1"/>
  <c r="AC122" i="1"/>
  <c r="AC121" i="1"/>
  <c r="AC114" i="1"/>
  <c r="AC107" i="1"/>
  <c r="AC157" i="1"/>
  <c r="AC164" i="1"/>
  <c r="AC163" i="1"/>
  <c r="AC162" i="1"/>
  <c r="AC161" i="1"/>
  <c r="AC150" i="1"/>
  <c r="AC149" i="1"/>
  <c r="AC144" i="1"/>
  <c r="AC143" i="1"/>
  <c r="AC125" i="1"/>
  <c r="AC117" i="1"/>
  <c r="AC284" i="1"/>
  <c r="AC283" i="1"/>
  <c r="AC275" i="1"/>
  <c r="AC156" i="1"/>
  <c r="AC155" i="1"/>
  <c r="AC142" i="1"/>
  <c r="AC308" i="1"/>
  <c r="AC135" i="1"/>
  <c r="AC134" i="1"/>
  <c r="AC116" i="1"/>
  <c r="AC115" i="1"/>
  <c r="AC131" i="1"/>
  <c r="AC124" i="1"/>
  <c r="AC123" i="1"/>
  <c r="AC270" i="1"/>
  <c r="AC106" i="1"/>
  <c r="AC280" i="1"/>
  <c r="AC279" i="1"/>
  <c r="AC273" i="1"/>
  <c r="AC47" i="1"/>
  <c r="AC46" i="1"/>
  <c r="AC45" i="1"/>
  <c r="AC130" i="1"/>
  <c r="AC129" i="1"/>
  <c r="AC232" i="1"/>
  <c r="AC272" i="1"/>
  <c r="AC271" i="1"/>
  <c r="AC269" i="1"/>
  <c r="AC268" i="1"/>
  <c r="AC263" i="1"/>
  <c r="AC262" i="1"/>
  <c r="AC266" i="1"/>
  <c r="AC105" i="1"/>
  <c r="AC102" i="1"/>
  <c r="AC205" i="1"/>
  <c r="AC73" i="1"/>
  <c r="AC109" i="1"/>
  <c r="AC108" i="1"/>
  <c r="AC297" i="1"/>
  <c r="AC104" i="1"/>
  <c r="AC103" i="1"/>
  <c r="AC101" i="1"/>
  <c r="AC265" i="1"/>
  <c r="AC264" i="1"/>
  <c r="AC140" i="1"/>
  <c r="AC139" i="1"/>
  <c r="AC66" i="1"/>
  <c r="AC257" i="1"/>
  <c r="AC96" i="1"/>
  <c r="AC100" i="1"/>
  <c r="AC260" i="1"/>
  <c r="AC233" i="1"/>
  <c r="AC224" i="1"/>
  <c r="AC95" i="1"/>
  <c r="AC53" i="1"/>
  <c r="AC52" i="1"/>
  <c r="AC99" i="1"/>
  <c r="AC78" i="1"/>
  <c r="AC44" i="1"/>
  <c r="AC51" i="1"/>
  <c r="AC256" i="1"/>
  <c r="AC90" i="1"/>
  <c r="AC89" i="1"/>
  <c r="AC333" i="1"/>
  <c r="AC50" i="1"/>
  <c r="AC246" i="1"/>
  <c r="AC238" i="1"/>
  <c r="AC84" i="1"/>
  <c r="AC307" i="1"/>
  <c r="AC255" i="1"/>
  <c r="AC59" i="1"/>
  <c r="AC58" i="1"/>
  <c r="AC237" i="1"/>
  <c r="AC222" i="1"/>
  <c r="AC190" i="1"/>
  <c r="AC72" i="1"/>
  <c r="AC217" i="1"/>
  <c r="AC87" i="1"/>
  <c r="AC57" i="1"/>
  <c r="AC254" i="1"/>
  <c r="AC231" i="1"/>
  <c r="AC98" i="1"/>
  <c r="AC97" i="1"/>
  <c r="AC94" i="1"/>
  <c r="AC93" i="1"/>
  <c r="AC83" i="1"/>
  <c r="AC71" i="1"/>
  <c r="AC56" i="1"/>
  <c r="AC82" i="1"/>
  <c r="AC77" i="1"/>
  <c r="AC43" i="1"/>
  <c r="AC42" i="1"/>
  <c r="AC236" i="1"/>
  <c r="AC81" i="1"/>
  <c r="AC65" i="1"/>
  <c r="AC259" i="1"/>
  <c r="AC258" i="1"/>
  <c r="AC249" i="1"/>
  <c r="AC248" i="1"/>
  <c r="AC221" i="1"/>
  <c r="AC216" i="1"/>
  <c r="AC171" i="1"/>
  <c r="AC253" i="1"/>
  <c r="AC64" i="1"/>
  <c r="AC245" i="1"/>
  <c r="AC230" i="1"/>
  <c r="AC76" i="1"/>
  <c r="AC70" i="1"/>
  <c r="AC63" i="1"/>
  <c r="AC75" i="1"/>
  <c r="AC74" i="1"/>
  <c r="AC69" i="1"/>
  <c r="AC62" i="1"/>
  <c r="AC39" i="1"/>
  <c r="AC86" i="1"/>
  <c r="AC85" i="1"/>
  <c r="AC80" i="1"/>
  <c r="AC79" i="1"/>
  <c r="AC38" i="1"/>
  <c r="AC244" i="1"/>
  <c r="AC243" i="1"/>
  <c r="AC215" i="1"/>
  <c r="AC68" i="1"/>
  <c r="AC67" i="1"/>
  <c r="AC229" i="1"/>
  <c r="AC61" i="1"/>
  <c r="AC60" i="1"/>
  <c r="AC37" i="1"/>
  <c r="AC18" i="1"/>
  <c r="AC252" i="1"/>
  <c r="AC251" i="1"/>
  <c r="AC55" i="1"/>
  <c r="AC54" i="1"/>
  <c r="AC34" i="1"/>
  <c r="AC49" i="1"/>
  <c r="AC48" i="1"/>
  <c r="AC199" i="1"/>
  <c r="AC250" i="1"/>
  <c r="AC41" i="1"/>
  <c r="AC40" i="1"/>
  <c r="AC242" i="1"/>
  <c r="AC225" i="1"/>
  <c r="AC188" i="1"/>
  <c r="AC184" i="1"/>
  <c r="AC214" i="1"/>
  <c r="AC36" i="1"/>
  <c r="AC35" i="1"/>
  <c r="AC33" i="1"/>
  <c r="AC32" i="1"/>
  <c r="AC169" i="1"/>
  <c r="AC241" i="1"/>
  <c r="AC183" i="1"/>
  <c r="AC235" i="1"/>
  <c r="AC234" i="1"/>
  <c r="AC228" i="1"/>
  <c r="AC227" i="1"/>
  <c r="AC324" i="1"/>
  <c r="AC29" i="1"/>
  <c r="AC337" i="1"/>
  <c r="AC336" i="1"/>
  <c r="AC25" i="1"/>
  <c r="AC326" i="1"/>
  <c r="AC213" i="1"/>
  <c r="AC320" i="1"/>
  <c r="AC220" i="1"/>
  <c r="AC178" i="1"/>
  <c r="AC202" i="1"/>
  <c r="AC226" i="1"/>
  <c r="AC219" i="1"/>
  <c r="AC218" i="1"/>
  <c r="AC11" i="1"/>
  <c r="AC212" i="1"/>
  <c r="AC211" i="1"/>
  <c r="AC6" i="1"/>
  <c r="AC187" i="1"/>
  <c r="AC314" i="1"/>
  <c r="AC210" i="1"/>
  <c r="AC318" i="1"/>
  <c r="AC182" i="1"/>
  <c r="AC313" i="1"/>
  <c r="AC209" i="1"/>
  <c r="AC92" i="1"/>
  <c r="AC177" i="1"/>
  <c r="AC312" i="1"/>
  <c r="AC208" i="1"/>
  <c r="AC323" i="1"/>
  <c r="AC207" i="1"/>
  <c r="AC206" i="1"/>
  <c r="AC91" i="1"/>
  <c r="AC198" i="1"/>
  <c r="AC181" i="1"/>
  <c r="AC180" i="1"/>
  <c r="AC174" i="1"/>
  <c r="AC173" i="1"/>
  <c r="AC197" i="1"/>
  <c r="AC196" i="1"/>
  <c r="AC192" i="1"/>
  <c r="AC191" i="1"/>
  <c r="AC12" i="1"/>
  <c r="AC332" i="1"/>
  <c r="AC201" i="1"/>
  <c r="AC200" i="1"/>
  <c r="AC15" i="1"/>
  <c r="AC14" i="1"/>
  <c r="AC331" i="1"/>
  <c r="AC186" i="1"/>
  <c r="AC185" i="1"/>
  <c r="AC322" i="1"/>
  <c r="AC321" i="1"/>
  <c r="AC334" i="1"/>
  <c r="AC330" i="1"/>
  <c r="AC317" i="1"/>
  <c r="AC195" i="1"/>
  <c r="AC194" i="1"/>
  <c r="AC28" i="1"/>
  <c r="AC329" i="1"/>
  <c r="AC315" i="1"/>
  <c r="AC193" i="1"/>
  <c r="AC176" i="1"/>
  <c r="AC175" i="1"/>
  <c r="AC172" i="1"/>
  <c r="AC168" i="1"/>
  <c r="AC167" i="1"/>
  <c r="AC328" i="1"/>
  <c r="AC327" i="1"/>
  <c r="AC306" i="1"/>
  <c r="AC166" i="1"/>
  <c r="AC305" i="1"/>
  <c r="AC165" i="1"/>
  <c r="Z301" i="1"/>
  <c r="Y301" i="1"/>
  <c r="V301" i="1"/>
  <c r="S301" i="1"/>
  <c r="V191" i="1" l="1"/>
  <c r="J2" i="1"/>
  <c r="S2" i="1"/>
  <c r="U2" i="1"/>
  <c r="Y2" i="1"/>
  <c r="Z19" i="1" l="1"/>
  <c r="AE19" i="1" s="1"/>
  <c r="Z26" i="1"/>
  <c r="AE26" i="1" s="1"/>
  <c r="V26" i="1"/>
  <c r="X30" i="1"/>
  <c r="V30" i="1"/>
  <c r="U30" i="1"/>
  <c r="S30" i="1"/>
  <c r="J30" i="1"/>
  <c r="Y30" i="1" l="1"/>
  <c r="AF30" i="1"/>
  <c r="AG30" i="1" s="1"/>
  <c r="Z30" i="1"/>
  <c r="AE30" i="1" s="1"/>
  <c r="S31" i="1"/>
  <c r="U31" i="1"/>
  <c r="V10" i="1"/>
  <c r="S10" i="1"/>
  <c r="U10" i="1"/>
  <c r="Z7" i="1"/>
  <c r="AE7" i="1" s="1"/>
  <c r="Z304" i="1"/>
  <c r="AE304" i="1" s="1"/>
  <c r="Z8" i="1"/>
  <c r="AE8" i="1" s="1"/>
  <c r="Z16" i="1"/>
  <c r="AE16" i="1" s="1"/>
  <c r="Z22" i="1"/>
  <c r="AE22" i="1" s="1"/>
  <c r="Z5" i="1"/>
  <c r="AE5" i="1" s="1"/>
  <c r="Z17" i="1"/>
  <c r="AE17" i="1" s="1"/>
  <c r="Z20" i="1"/>
  <c r="AE20" i="1" s="1"/>
  <c r="Z4" i="1"/>
  <c r="AE4" i="1" s="1"/>
  <c r="Z13" i="1"/>
  <c r="AE13" i="1" s="1"/>
  <c r="Z9" i="1"/>
  <c r="AE9" i="1" s="1"/>
  <c r="Z21" i="1"/>
  <c r="AE21" i="1" s="1"/>
  <c r="Z27" i="1"/>
  <c r="AE27" i="1" s="1"/>
  <c r="Z308" i="1"/>
  <c r="AE308" i="1" s="1"/>
  <c r="Z307" i="1"/>
  <c r="AE307" i="1" s="1"/>
  <c r="AI85" i="1"/>
  <c r="Z79" i="1"/>
  <c r="AE79" i="1" s="1"/>
  <c r="Z60" i="1"/>
  <c r="AE60" i="1" s="1"/>
  <c r="Z242" i="1"/>
  <c r="AE242" i="1" s="1"/>
  <c r="Z35" i="1"/>
  <c r="AE35" i="1" s="1"/>
  <c r="Z32" i="1"/>
  <c r="AE32" i="1" s="1"/>
  <c r="Z226" i="1"/>
  <c r="AE226" i="1" s="1"/>
  <c r="Z218" i="1"/>
  <c r="AE218" i="1" s="1"/>
  <c r="Z314" i="1"/>
  <c r="AE314" i="1" s="1"/>
  <c r="Z206" i="1"/>
  <c r="AE206" i="1" s="1"/>
  <c r="Z180" i="1"/>
  <c r="AE180" i="1" s="1"/>
  <c r="Z173" i="1"/>
  <c r="AE173" i="1" s="1"/>
  <c r="Y23" i="1"/>
  <c r="Y305" i="1"/>
  <c r="Y166" i="1"/>
  <c r="Y306" i="1"/>
  <c r="Y327" i="1"/>
  <c r="Y328" i="1"/>
  <c r="Y167" i="1"/>
  <c r="Y168" i="1"/>
  <c r="Y172" i="1"/>
  <c r="Y175" i="1"/>
  <c r="Y176" i="1"/>
  <c r="Y193" i="1"/>
  <c r="Y315" i="1"/>
  <c r="Y329" i="1"/>
  <c r="Y28" i="1"/>
  <c r="Y194" i="1"/>
  <c r="Y195" i="1"/>
  <c r="Y317" i="1"/>
  <c r="Y330" i="1"/>
  <c r="Y334" i="1"/>
  <c r="Y321" i="1"/>
  <c r="Y322" i="1"/>
  <c r="Y185" i="1"/>
  <c r="Y186" i="1"/>
  <c r="Y331" i="1"/>
  <c r="Y14" i="1"/>
  <c r="Y15" i="1"/>
  <c r="Y200" i="1"/>
  <c r="Y201" i="1"/>
  <c r="Y332" i="1"/>
  <c r="Y12" i="1"/>
  <c r="Y191" i="1"/>
  <c r="Y192" i="1"/>
  <c r="Y196" i="1"/>
  <c r="Y197" i="1"/>
  <c r="Y173" i="1"/>
  <c r="Y174" i="1"/>
  <c r="Y180" i="1"/>
  <c r="Y181" i="1"/>
  <c r="Y198" i="1"/>
  <c r="Y91" i="1"/>
  <c r="Y206" i="1"/>
  <c r="Y207" i="1"/>
  <c r="Y323" i="1"/>
  <c r="Y208" i="1"/>
  <c r="Y312" i="1"/>
  <c r="Y177" i="1"/>
  <c r="Y92" i="1"/>
  <c r="Y209" i="1"/>
  <c r="Y313" i="1"/>
  <c r="Y24" i="1"/>
  <c r="Y182" i="1"/>
  <c r="Y318" i="1"/>
  <c r="Y210" i="1"/>
  <c r="Y314" i="1"/>
  <c r="Y187" i="1"/>
  <c r="Y6" i="1"/>
  <c r="Y211" i="1"/>
  <c r="Y212" i="1"/>
  <c r="Y11" i="1"/>
  <c r="Y218" i="1"/>
  <c r="Y219" i="1"/>
  <c r="Y226" i="1"/>
  <c r="Y202" i="1"/>
  <c r="Y178" i="1"/>
  <c r="Y220" i="1"/>
  <c r="Y320" i="1"/>
  <c r="Y213" i="1"/>
  <c r="Y326" i="1"/>
  <c r="Y25" i="1"/>
  <c r="Y336" i="1"/>
  <c r="Y337" i="1"/>
  <c r="Y3" i="1"/>
  <c r="Y29" i="1"/>
  <c r="Y324" i="1"/>
  <c r="Y227" i="1"/>
  <c r="Y228" i="1"/>
  <c r="Y234" i="1"/>
  <c r="Y235" i="1"/>
  <c r="Y183" i="1"/>
  <c r="Y241" i="1"/>
  <c r="Y169" i="1"/>
  <c r="Y32" i="1"/>
  <c r="Y33" i="1"/>
  <c r="Y35" i="1"/>
  <c r="Y36" i="1"/>
  <c r="Y214" i="1"/>
  <c r="Y184" i="1"/>
  <c r="Y188" i="1"/>
  <c r="Y225" i="1"/>
  <c r="Y242" i="1"/>
  <c r="Y40" i="1"/>
  <c r="Y41" i="1"/>
  <c r="Y250" i="1"/>
  <c r="Y199" i="1"/>
  <c r="Y48" i="1"/>
  <c r="Y49" i="1"/>
  <c r="Y34" i="1"/>
  <c r="Y55" i="1"/>
  <c r="Y251" i="1"/>
  <c r="Y252" i="1"/>
  <c r="Y18" i="1"/>
  <c r="Y37" i="1"/>
  <c r="Y60" i="1"/>
  <c r="Y61" i="1"/>
  <c r="Y229" i="1"/>
  <c r="Y67" i="1"/>
  <c r="Y68" i="1"/>
  <c r="Y215" i="1"/>
  <c r="Y243" i="1"/>
  <c r="Y244" i="1"/>
  <c r="Y38" i="1"/>
  <c r="Y79" i="1"/>
  <c r="Y80" i="1"/>
  <c r="Y85" i="1"/>
  <c r="Y86" i="1"/>
  <c r="Y39" i="1"/>
  <c r="Y62" i="1"/>
  <c r="Y69" i="1"/>
  <c r="Y74" i="1"/>
  <c r="Y75" i="1"/>
  <c r="Y63" i="1"/>
  <c r="Y70" i="1"/>
  <c r="Y76" i="1"/>
  <c r="Y230" i="1"/>
  <c r="Y245" i="1"/>
  <c r="Y64" i="1"/>
  <c r="Y253" i="1"/>
  <c r="Y171" i="1"/>
  <c r="Y216" i="1"/>
  <c r="Y221" i="1"/>
  <c r="Y248" i="1"/>
  <c r="Y249" i="1"/>
  <c r="Y258" i="1"/>
  <c r="Y259" i="1"/>
  <c r="Y65" i="1"/>
  <c r="Y81" i="1"/>
  <c r="Y236" i="1"/>
  <c r="Y42" i="1"/>
  <c r="Y43" i="1"/>
  <c r="Y77" i="1"/>
  <c r="Y82" i="1"/>
  <c r="Y56" i="1"/>
  <c r="Y71" i="1"/>
  <c r="Y83" i="1"/>
  <c r="Y93" i="1"/>
  <c r="Y94" i="1"/>
  <c r="Y97" i="1"/>
  <c r="Y98" i="1"/>
  <c r="Y231" i="1"/>
  <c r="Y254" i="1"/>
  <c r="Y57" i="1"/>
  <c r="Y87" i="1"/>
  <c r="Y217" i="1"/>
  <c r="Y72" i="1"/>
  <c r="Y190" i="1"/>
  <c r="Y222" i="1"/>
  <c r="Y237" i="1"/>
  <c r="Y58" i="1"/>
  <c r="Y59" i="1"/>
  <c r="Y255" i="1"/>
  <c r="Y307" i="1"/>
  <c r="Y84" i="1"/>
  <c r="Y238" i="1"/>
  <c r="Y246" i="1"/>
  <c r="Y50" i="1"/>
  <c r="Y333" i="1"/>
  <c r="Y89" i="1"/>
  <c r="Y90" i="1"/>
  <c r="Y256" i="1"/>
  <c r="Y51" i="1"/>
  <c r="Y44" i="1"/>
  <c r="Y78" i="1"/>
  <c r="Y99" i="1"/>
  <c r="Y52" i="1"/>
  <c r="Y53" i="1"/>
  <c r="Y95" i="1"/>
  <c r="Y224" i="1"/>
  <c r="Y233" i="1"/>
  <c r="Y260" i="1"/>
  <c r="Y100" i="1"/>
  <c r="Y96" i="1"/>
  <c r="Y257" i="1"/>
  <c r="Y66" i="1"/>
  <c r="Y139" i="1"/>
  <c r="Y140" i="1"/>
  <c r="Y264" i="1"/>
  <c r="Y265" i="1"/>
  <c r="Y101" i="1"/>
  <c r="Y103" i="1"/>
  <c r="Y104" i="1"/>
  <c r="Y297" i="1"/>
  <c r="Y108" i="1"/>
  <c r="Y109" i="1"/>
  <c r="Y73" i="1"/>
  <c r="Y205" i="1"/>
  <c r="Y102" i="1"/>
  <c r="Y105" i="1"/>
  <c r="Y266" i="1"/>
  <c r="Y262" i="1"/>
  <c r="Y263" i="1"/>
  <c r="Y268" i="1"/>
  <c r="Y269" i="1"/>
  <c r="Y271" i="1"/>
  <c r="Y272" i="1"/>
  <c r="Y232" i="1"/>
  <c r="Y129" i="1"/>
  <c r="Y130" i="1"/>
  <c r="Y45" i="1"/>
  <c r="Y46" i="1"/>
  <c r="Y47" i="1"/>
  <c r="Y273" i="1"/>
  <c r="Y279" i="1"/>
  <c r="Y280" i="1"/>
  <c r="Y106" i="1"/>
  <c r="Y270" i="1"/>
  <c r="Y123" i="1"/>
  <c r="Y124" i="1"/>
  <c r="Y131" i="1"/>
  <c r="Y115" i="1"/>
  <c r="Y116" i="1"/>
  <c r="Y134" i="1"/>
  <c r="Y135" i="1"/>
  <c r="Y308" i="1"/>
  <c r="Y142" i="1"/>
  <c r="Y155" i="1"/>
  <c r="Y156" i="1"/>
  <c r="Y275" i="1"/>
  <c r="Y281" i="1"/>
  <c r="Y282" i="1"/>
  <c r="Y283" i="1"/>
  <c r="Y284" i="1"/>
  <c r="Y117" i="1"/>
  <c r="Y125" i="1"/>
  <c r="Y143" i="1"/>
  <c r="Y144" i="1"/>
  <c r="Y149" i="1"/>
  <c r="Y150" i="1"/>
  <c r="Y161" i="1"/>
  <c r="Y162" i="1"/>
  <c r="Y163" i="1"/>
  <c r="Y164" i="1"/>
  <c r="Y157" i="1"/>
  <c r="Y107" i="1"/>
  <c r="Y114" i="1"/>
  <c r="Y121" i="1"/>
  <c r="Y122" i="1"/>
  <c r="Y132" i="1"/>
  <c r="Y136" i="1"/>
  <c r="Y309" i="1"/>
  <c r="Y145" i="1"/>
  <c r="Y267" i="1"/>
  <c r="Y277" i="1"/>
  <c r="Y278" i="1"/>
  <c r="Y285" i="1"/>
  <c r="Y289" i="1"/>
  <c r="Y290" i="1"/>
  <c r="Y291" i="1"/>
  <c r="Y292" i="1"/>
  <c r="Y133" i="1"/>
  <c r="Y151" i="1"/>
  <c r="Y159" i="1"/>
  <c r="Y293" i="1"/>
  <c r="Y294" i="1"/>
  <c r="Y295" i="1"/>
  <c r="Y296" i="1"/>
  <c r="Y310" i="1"/>
  <c r="Y298" i="1"/>
  <c r="Y299" i="1"/>
  <c r="Y300" i="1"/>
  <c r="Y302" i="1"/>
  <c r="Y303" i="1"/>
  <c r="Y27" i="1"/>
  <c r="Y21" i="1"/>
  <c r="Y9" i="1"/>
  <c r="Y19" i="1"/>
  <c r="Y26" i="1"/>
  <c r="Y13" i="1"/>
  <c r="Y4" i="1"/>
  <c r="Y20" i="1"/>
  <c r="Y17" i="1"/>
  <c r="Y5" i="1"/>
  <c r="Y22" i="1"/>
  <c r="Y311" i="1"/>
  <c r="Y16" i="1"/>
  <c r="Y8" i="1"/>
  <c r="Y304" i="1"/>
  <c r="Y7" i="1"/>
  <c r="Y165" i="1"/>
  <c r="Z317" i="1"/>
  <c r="AE317" i="1" s="1"/>
  <c r="Z315" i="1"/>
  <c r="AE315" i="1" s="1"/>
  <c r="Z175" i="1"/>
  <c r="AE175" i="1" s="1"/>
  <c r="Z167" i="1"/>
  <c r="AE167" i="1" s="1"/>
  <c r="Z306" i="1"/>
  <c r="AE306" i="1" s="1"/>
  <c r="Z305" i="1"/>
  <c r="AE305" i="1" s="1"/>
  <c r="J31" i="1"/>
  <c r="J10" i="1"/>
  <c r="X31" i="1"/>
  <c r="X10" i="1"/>
  <c r="I97" i="2"/>
  <c r="I95" i="2"/>
  <c r="I47" i="2"/>
  <c r="J47" i="2" s="1"/>
  <c r="V21" i="1"/>
  <c r="V27" i="1"/>
  <c r="V13" i="1"/>
  <c r="V304" i="1"/>
  <c r="V20" i="1"/>
  <c r="V22" i="1"/>
  <c r="V17" i="1"/>
  <c r="V9" i="1"/>
  <c r="V155" i="1"/>
  <c r="V8" i="1"/>
  <c r="V7" i="1"/>
  <c r="V5" i="1"/>
  <c r="V4" i="1"/>
  <c r="S23" i="1"/>
  <c r="S305" i="1"/>
  <c r="S166" i="1"/>
  <c r="S306" i="1"/>
  <c r="S327" i="1"/>
  <c r="S328" i="1"/>
  <c r="S167" i="1"/>
  <c r="S168" i="1"/>
  <c r="S172" i="1"/>
  <c r="S175" i="1"/>
  <c r="S176" i="1"/>
  <c r="S193" i="1"/>
  <c r="S315" i="1"/>
  <c r="S329" i="1"/>
  <c r="S28" i="1"/>
  <c r="S194" i="1"/>
  <c r="S195" i="1"/>
  <c r="S317" i="1"/>
  <c r="S330" i="1"/>
  <c r="S334" i="1"/>
  <c r="S321" i="1"/>
  <c r="S322" i="1"/>
  <c r="S185" i="1"/>
  <c r="S186" i="1"/>
  <c r="S331" i="1"/>
  <c r="S14" i="1"/>
  <c r="S15" i="1"/>
  <c r="S200" i="1"/>
  <c r="S201" i="1"/>
  <c r="S332" i="1"/>
  <c r="S12" i="1"/>
  <c r="S191" i="1"/>
  <c r="S192" i="1"/>
  <c r="S196" i="1"/>
  <c r="S197" i="1"/>
  <c r="S173" i="1"/>
  <c r="S174" i="1"/>
  <c r="S180" i="1"/>
  <c r="S181" i="1"/>
  <c r="S198" i="1"/>
  <c r="S91" i="1"/>
  <c r="S206" i="1"/>
  <c r="S207" i="1"/>
  <c r="S323" i="1"/>
  <c r="S208" i="1"/>
  <c r="S312" i="1"/>
  <c r="S177" i="1"/>
  <c r="S92" i="1"/>
  <c r="S209" i="1"/>
  <c r="S313" i="1"/>
  <c r="S24" i="1"/>
  <c r="S182" i="1"/>
  <c r="S318" i="1"/>
  <c r="S210" i="1"/>
  <c r="S314" i="1"/>
  <c r="S187" i="1"/>
  <c r="S6" i="1"/>
  <c r="S211" i="1"/>
  <c r="S212" i="1"/>
  <c r="S11" i="1"/>
  <c r="S218" i="1"/>
  <c r="S219" i="1"/>
  <c r="S226" i="1"/>
  <c r="S202" i="1"/>
  <c r="S178" i="1"/>
  <c r="S220" i="1"/>
  <c r="S320" i="1"/>
  <c r="S213" i="1"/>
  <c r="S326" i="1"/>
  <c r="S25" i="1"/>
  <c r="S336" i="1"/>
  <c r="S337" i="1"/>
  <c r="S3" i="1"/>
  <c r="S29" i="1"/>
  <c r="S324" i="1"/>
  <c r="S227" i="1"/>
  <c r="S228" i="1"/>
  <c r="S234" i="1"/>
  <c r="S235" i="1"/>
  <c r="S183" i="1"/>
  <c r="S241" i="1"/>
  <c r="S169" i="1"/>
  <c r="S32" i="1"/>
  <c r="S33" i="1"/>
  <c r="S35" i="1"/>
  <c r="S36" i="1"/>
  <c r="S214" i="1"/>
  <c r="S184" i="1"/>
  <c r="S188" i="1"/>
  <c r="S225" i="1"/>
  <c r="S242" i="1"/>
  <c r="S40" i="1"/>
  <c r="S41" i="1"/>
  <c r="S250" i="1"/>
  <c r="S199" i="1"/>
  <c r="S48" i="1"/>
  <c r="S49" i="1"/>
  <c r="S34" i="1"/>
  <c r="S54" i="1"/>
  <c r="S55" i="1"/>
  <c r="S251" i="1"/>
  <c r="S252" i="1"/>
  <c r="S18" i="1"/>
  <c r="S37" i="1"/>
  <c r="S60" i="1"/>
  <c r="S61" i="1"/>
  <c r="S229" i="1"/>
  <c r="S67" i="1"/>
  <c r="S68" i="1"/>
  <c r="S215" i="1"/>
  <c r="S243" i="1"/>
  <c r="S244" i="1"/>
  <c r="S38" i="1"/>
  <c r="S79" i="1"/>
  <c r="S80" i="1"/>
  <c r="S85" i="1"/>
  <c r="S86" i="1"/>
  <c r="S39" i="1"/>
  <c r="S62" i="1"/>
  <c r="S69" i="1"/>
  <c r="S74" i="1"/>
  <c r="S75" i="1"/>
  <c r="S63" i="1"/>
  <c r="S70" i="1"/>
  <c r="S76" i="1"/>
  <c r="S230" i="1"/>
  <c r="S245" i="1"/>
  <c r="S64" i="1"/>
  <c r="S253" i="1"/>
  <c r="S171" i="1"/>
  <c r="S216" i="1"/>
  <c r="S221" i="1"/>
  <c r="S248" i="1"/>
  <c r="S249" i="1"/>
  <c r="S258" i="1"/>
  <c r="S259" i="1"/>
  <c r="S65" i="1"/>
  <c r="S81" i="1"/>
  <c r="S236" i="1"/>
  <c r="S42" i="1"/>
  <c r="S43" i="1"/>
  <c r="S77" i="1"/>
  <c r="S82" i="1"/>
  <c r="S56" i="1"/>
  <c r="S71" i="1"/>
  <c r="S83" i="1"/>
  <c r="S93" i="1"/>
  <c r="S94" i="1"/>
  <c r="S97" i="1"/>
  <c r="S98" i="1"/>
  <c r="S231" i="1"/>
  <c r="S254" i="1"/>
  <c r="S57" i="1"/>
  <c r="S87" i="1"/>
  <c r="S217" i="1"/>
  <c r="S72" i="1"/>
  <c r="S190" i="1"/>
  <c r="S222" i="1"/>
  <c r="S237" i="1"/>
  <c r="S58" i="1"/>
  <c r="S59" i="1"/>
  <c r="S255" i="1"/>
  <c r="S307" i="1"/>
  <c r="S84" i="1"/>
  <c r="S238" i="1"/>
  <c r="S246" i="1"/>
  <c r="S50" i="1"/>
  <c r="S333" i="1"/>
  <c r="S89" i="1"/>
  <c r="S90" i="1"/>
  <c r="S256" i="1"/>
  <c r="S51" i="1"/>
  <c r="S44" i="1"/>
  <c r="S78" i="1"/>
  <c r="S99" i="1"/>
  <c r="S52" i="1"/>
  <c r="S53" i="1"/>
  <c r="S95" i="1"/>
  <c r="S224" i="1"/>
  <c r="S233" i="1"/>
  <c r="S260" i="1"/>
  <c r="S100" i="1"/>
  <c r="S96" i="1"/>
  <c r="S257" i="1"/>
  <c r="S66" i="1"/>
  <c r="S139" i="1"/>
  <c r="S140" i="1"/>
  <c r="S264" i="1"/>
  <c r="S265" i="1"/>
  <c r="S101" i="1"/>
  <c r="S103" i="1"/>
  <c r="S104" i="1"/>
  <c r="S297" i="1"/>
  <c r="S108" i="1"/>
  <c r="S109" i="1"/>
  <c r="S73" i="1"/>
  <c r="S205" i="1"/>
  <c r="S102" i="1"/>
  <c r="S105" i="1"/>
  <c r="S266" i="1"/>
  <c r="S262" i="1"/>
  <c r="S263" i="1"/>
  <c r="S268" i="1"/>
  <c r="S269" i="1"/>
  <c r="S271" i="1"/>
  <c r="S272" i="1"/>
  <c r="S232" i="1"/>
  <c r="S129" i="1"/>
  <c r="S130" i="1"/>
  <c r="S45" i="1"/>
  <c r="S46" i="1"/>
  <c r="S47" i="1"/>
  <c r="S273" i="1"/>
  <c r="S279" i="1"/>
  <c r="S280" i="1"/>
  <c r="S106" i="1"/>
  <c r="S270" i="1"/>
  <c r="S123" i="1"/>
  <c r="S124" i="1"/>
  <c r="S131" i="1"/>
  <c r="S115" i="1"/>
  <c r="S116" i="1"/>
  <c r="S134" i="1"/>
  <c r="S135" i="1"/>
  <c r="S308" i="1"/>
  <c r="S142" i="1"/>
  <c r="S155" i="1"/>
  <c r="S156" i="1"/>
  <c r="S275" i="1"/>
  <c r="S281" i="1"/>
  <c r="S282" i="1"/>
  <c r="S283" i="1"/>
  <c r="S284" i="1"/>
  <c r="S117" i="1"/>
  <c r="S125" i="1"/>
  <c r="S143" i="1"/>
  <c r="S144" i="1"/>
  <c r="S149" i="1"/>
  <c r="S150" i="1"/>
  <c r="S161" i="1"/>
  <c r="S162" i="1"/>
  <c r="S163" i="1"/>
  <c r="S164" i="1"/>
  <c r="S157" i="1"/>
  <c r="S107" i="1"/>
  <c r="S114" i="1"/>
  <c r="S121" i="1"/>
  <c r="S122" i="1"/>
  <c r="S132" i="1"/>
  <c r="S136" i="1"/>
  <c r="S309" i="1"/>
  <c r="S145" i="1"/>
  <c r="S267" i="1"/>
  <c r="S277" i="1"/>
  <c r="S278" i="1"/>
  <c r="S285" i="1"/>
  <c r="S289" i="1"/>
  <c r="S290" i="1"/>
  <c r="S291" i="1"/>
  <c r="S292" i="1"/>
  <c r="S133" i="1"/>
  <c r="S151" i="1"/>
  <c r="S159" i="1"/>
  <c r="S293" i="1"/>
  <c r="S294" i="1"/>
  <c r="S295" i="1"/>
  <c r="S296" i="1"/>
  <c r="S310" i="1"/>
  <c r="S298" i="1"/>
  <c r="S299" i="1"/>
  <c r="S300" i="1"/>
  <c r="S302" i="1"/>
  <c r="S303" i="1"/>
  <c r="S27" i="1"/>
  <c r="S21" i="1"/>
  <c r="S9" i="1"/>
  <c r="S19" i="1"/>
  <c r="S26" i="1"/>
  <c r="S13" i="1"/>
  <c r="S4" i="1"/>
  <c r="S20" i="1"/>
  <c r="S17" i="1"/>
  <c r="S5" i="1"/>
  <c r="S22" i="1"/>
  <c r="S311" i="1"/>
  <c r="S16" i="1"/>
  <c r="S8" i="1"/>
  <c r="S304" i="1"/>
  <c r="S7" i="1"/>
  <c r="S165" i="1"/>
  <c r="U23" i="1"/>
  <c r="U305" i="1"/>
  <c r="U166" i="1"/>
  <c r="U306" i="1"/>
  <c r="U327" i="1"/>
  <c r="U328" i="1"/>
  <c r="U167" i="1"/>
  <c r="U168" i="1"/>
  <c r="U172" i="1"/>
  <c r="U175" i="1"/>
  <c r="U176" i="1"/>
  <c r="U193" i="1"/>
  <c r="U315" i="1"/>
  <c r="U329" i="1"/>
  <c r="U28" i="1"/>
  <c r="U194" i="1"/>
  <c r="U195" i="1"/>
  <c r="U317" i="1"/>
  <c r="U330" i="1"/>
  <c r="U334" i="1"/>
  <c r="U321" i="1"/>
  <c r="U322" i="1"/>
  <c r="U185" i="1"/>
  <c r="U186" i="1"/>
  <c r="U331" i="1"/>
  <c r="U14" i="1"/>
  <c r="U15" i="1"/>
  <c r="U200" i="1"/>
  <c r="U201" i="1"/>
  <c r="U332" i="1"/>
  <c r="U12" i="1"/>
  <c r="U191" i="1"/>
  <c r="U192" i="1"/>
  <c r="U196" i="1"/>
  <c r="U197" i="1"/>
  <c r="U173" i="1"/>
  <c r="U174" i="1"/>
  <c r="U180" i="1"/>
  <c r="U181" i="1"/>
  <c r="U198" i="1"/>
  <c r="U91" i="1"/>
  <c r="U206" i="1"/>
  <c r="U207" i="1"/>
  <c r="U323" i="1"/>
  <c r="U208" i="1"/>
  <c r="U312" i="1"/>
  <c r="U177" i="1"/>
  <c r="U92" i="1"/>
  <c r="U209" i="1"/>
  <c r="U313" i="1"/>
  <c r="U24" i="1"/>
  <c r="U182" i="1"/>
  <c r="U318" i="1"/>
  <c r="U210" i="1"/>
  <c r="U314" i="1"/>
  <c r="U187" i="1"/>
  <c r="U6" i="1"/>
  <c r="U211" i="1"/>
  <c r="U212" i="1"/>
  <c r="U11" i="1"/>
  <c r="U218" i="1"/>
  <c r="U219" i="1"/>
  <c r="U226" i="1"/>
  <c r="U202" i="1"/>
  <c r="U178" i="1"/>
  <c r="U220" i="1"/>
  <c r="U320" i="1"/>
  <c r="U213" i="1"/>
  <c r="U326" i="1"/>
  <c r="U25" i="1"/>
  <c r="U336" i="1"/>
  <c r="U337" i="1"/>
  <c r="U3" i="1"/>
  <c r="U29" i="1"/>
  <c r="U324" i="1"/>
  <c r="U227" i="1"/>
  <c r="U228" i="1"/>
  <c r="U234" i="1"/>
  <c r="U235" i="1"/>
  <c r="U183" i="1"/>
  <c r="U241" i="1"/>
  <c r="U169" i="1"/>
  <c r="U32" i="1"/>
  <c r="U33" i="1"/>
  <c r="U35" i="1"/>
  <c r="U36" i="1"/>
  <c r="U214" i="1"/>
  <c r="U184" i="1"/>
  <c r="U188" i="1"/>
  <c r="U225" i="1"/>
  <c r="U242" i="1"/>
  <c r="U40" i="1"/>
  <c r="U41" i="1"/>
  <c r="U250" i="1"/>
  <c r="U199" i="1"/>
  <c r="U48" i="1"/>
  <c r="U49" i="1"/>
  <c r="U34" i="1"/>
  <c r="U54" i="1"/>
  <c r="U55" i="1"/>
  <c r="U251" i="1"/>
  <c r="U252" i="1"/>
  <c r="U18" i="1"/>
  <c r="U37" i="1"/>
  <c r="U60" i="1"/>
  <c r="U61" i="1"/>
  <c r="U229" i="1"/>
  <c r="U67" i="1"/>
  <c r="U68" i="1"/>
  <c r="U215" i="1"/>
  <c r="U243" i="1"/>
  <c r="U244" i="1"/>
  <c r="U38" i="1"/>
  <c r="U79" i="1"/>
  <c r="U80" i="1"/>
  <c r="U85" i="1"/>
  <c r="U86" i="1"/>
  <c r="U39" i="1"/>
  <c r="U62" i="1"/>
  <c r="U69" i="1"/>
  <c r="U74" i="1"/>
  <c r="U75" i="1"/>
  <c r="U63" i="1"/>
  <c r="U70" i="1"/>
  <c r="U76" i="1"/>
  <c r="U230" i="1"/>
  <c r="U245" i="1"/>
  <c r="U64" i="1"/>
  <c r="U253" i="1"/>
  <c r="U171" i="1"/>
  <c r="U216" i="1"/>
  <c r="U221" i="1"/>
  <c r="U248" i="1"/>
  <c r="U249" i="1"/>
  <c r="U258" i="1"/>
  <c r="U259" i="1"/>
  <c r="U65" i="1"/>
  <c r="U81" i="1"/>
  <c r="U236" i="1"/>
  <c r="U42" i="1"/>
  <c r="U43" i="1"/>
  <c r="U77" i="1"/>
  <c r="U82" i="1"/>
  <c r="U56" i="1"/>
  <c r="U71" i="1"/>
  <c r="U83" i="1"/>
  <c r="U93" i="1"/>
  <c r="U94" i="1"/>
  <c r="U97" i="1"/>
  <c r="U98" i="1"/>
  <c r="U231" i="1"/>
  <c r="U254" i="1"/>
  <c r="U57" i="1"/>
  <c r="U87" i="1"/>
  <c r="U217" i="1"/>
  <c r="U72" i="1"/>
  <c r="U190" i="1"/>
  <c r="U222" i="1"/>
  <c r="U237" i="1"/>
  <c r="U58" i="1"/>
  <c r="U59" i="1"/>
  <c r="U255" i="1"/>
  <c r="U307" i="1"/>
  <c r="U84" i="1"/>
  <c r="U238" i="1"/>
  <c r="U246" i="1"/>
  <c r="U50" i="1"/>
  <c r="U333" i="1"/>
  <c r="U89" i="1"/>
  <c r="U90" i="1"/>
  <c r="U256" i="1"/>
  <c r="U51" i="1"/>
  <c r="U44" i="1"/>
  <c r="U78" i="1"/>
  <c r="U99" i="1"/>
  <c r="U52" i="1"/>
  <c r="U53" i="1"/>
  <c r="U95" i="1"/>
  <c r="U224" i="1"/>
  <c r="U233" i="1"/>
  <c r="U260" i="1"/>
  <c r="U100" i="1"/>
  <c r="U96" i="1"/>
  <c r="U257" i="1"/>
  <c r="U66" i="1"/>
  <c r="U139" i="1"/>
  <c r="U140" i="1"/>
  <c r="U264" i="1"/>
  <c r="U265" i="1"/>
  <c r="U101" i="1"/>
  <c r="U103" i="1"/>
  <c r="U104" i="1"/>
  <c r="U297" i="1"/>
  <c r="U108" i="1"/>
  <c r="U109" i="1"/>
  <c r="U73" i="1"/>
  <c r="U205" i="1"/>
  <c r="U102" i="1"/>
  <c r="U105" i="1"/>
  <c r="U266" i="1"/>
  <c r="U262" i="1"/>
  <c r="U263" i="1"/>
  <c r="U268" i="1"/>
  <c r="U269" i="1"/>
  <c r="U271" i="1"/>
  <c r="U272" i="1"/>
  <c r="U232" i="1"/>
  <c r="U129" i="1"/>
  <c r="U130" i="1"/>
  <c r="U45" i="1"/>
  <c r="U46" i="1"/>
  <c r="U47" i="1"/>
  <c r="U273" i="1"/>
  <c r="U279" i="1"/>
  <c r="U280" i="1"/>
  <c r="U106" i="1"/>
  <c r="U270" i="1"/>
  <c r="U123" i="1"/>
  <c r="U124" i="1"/>
  <c r="U131" i="1"/>
  <c r="U115" i="1"/>
  <c r="U116" i="1"/>
  <c r="U134" i="1"/>
  <c r="U135" i="1"/>
  <c r="U308" i="1"/>
  <c r="U142" i="1"/>
  <c r="U155" i="1"/>
  <c r="U156" i="1"/>
  <c r="U275" i="1"/>
  <c r="U281" i="1"/>
  <c r="U282" i="1"/>
  <c r="U283" i="1"/>
  <c r="U284" i="1"/>
  <c r="U117" i="1"/>
  <c r="U125" i="1"/>
  <c r="U143" i="1"/>
  <c r="U144" i="1"/>
  <c r="U149" i="1"/>
  <c r="U150" i="1"/>
  <c r="U161" i="1"/>
  <c r="U162" i="1"/>
  <c r="U163" i="1"/>
  <c r="U164" i="1"/>
  <c r="U157" i="1"/>
  <c r="U107" i="1"/>
  <c r="U114" i="1"/>
  <c r="U121" i="1"/>
  <c r="U122" i="1"/>
  <c r="U132" i="1"/>
  <c r="U136" i="1"/>
  <c r="U309" i="1"/>
  <c r="U145" i="1"/>
  <c r="U267" i="1"/>
  <c r="U277" i="1"/>
  <c r="U278" i="1"/>
  <c r="U285" i="1"/>
  <c r="U289" i="1"/>
  <c r="U290" i="1"/>
  <c r="U291" i="1"/>
  <c r="U292" i="1"/>
  <c r="U133" i="1"/>
  <c r="U151" i="1"/>
  <c r="U159" i="1"/>
  <c r="U293" i="1"/>
  <c r="U294" i="1"/>
  <c r="U295" i="1"/>
  <c r="U296" i="1"/>
  <c r="U310" i="1"/>
  <c r="U298" i="1"/>
  <c r="U299" i="1"/>
  <c r="U300" i="1"/>
  <c r="U302" i="1"/>
  <c r="U303" i="1"/>
  <c r="U27" i="1"/>
  <c r="U21" i="1"/>
  <c r="U9" i="1"/>
  <c r="U19" i="1"/>
  <c r="U26" i="1"/>
  <c r="U13" i="1"/>
  <c r="U4" i="1"/>
  <c r="U20" i="1"/>
  <c r="U17" i="1"/>
  <c r="U5" i="1"/>
  <c r="U22" i="1"/>
  <c r="U311" i="1"/>
  <c r="U16" i="1"/>
  <c r="U8" i="1"/>
  <c r="U304" i="1"/>
  <c r="U7" i="1"/>
  <c r="U165" i="1"/>
  <c r="J23" i="1"/>
  <c r="J305" i="1"/>
  <c r="J166" i="1"/>
  <c r="J306" i="1"/>
  <c r="J327" i="1"/>
  <c r="J328" i="1"/>
  <c r="J167" i="1"/>
  <c r="J168" i="1"/>
  <c r="J172" i="1"/>
  <c r="J175" i="1"/>
  <c r="J176" i="1"/>
  <c r="J193" i="1"/>
  <c r="J315" i="1"/>
  <c r="J329" i="1"/>
  <c r="J28" i="1"/>
  <c r="J194" i="1"/>
  <c r="J195" i="1"/>
  <c r="J317" i="1"/>
  <c r="J330" i="1"/>
  <c r="J334" i="1"/>
  <c r="J321" i="1"/>
  <c r="J322" i="1"/>
  <c r="J185" i="1"/>
  <c r="J186" i="1"/>
  <c r="J331" i="1"/>
  <c r="J14" i="1"/>
  <c r="J15" i="1"/>
  <c r="J200" i="1"/>
  <c r="J201" i="1"/>
  <c r="J332" i="1"/>
  <c r="J12" i="1"/>
  <c r="J191" i="1"/>
  <c r="J192" i="1"/>
  <c r="J196" i="1"/>
  <c r="J197" i="1"/>
  <c r="J173" i="1"/>
  <c r="J174" i="1"/>
  <c r="J180" i="1"/>
  <c r="J181" i="1"/>
  <c r="J198" i="1"/>
  <c r="J91" i="1"/>
  <c r="J206" i="1"/>
  <c r="J207" i="1"/>
  <c r="J323" i="1"/>
  <c r="J208" i="1"/>
  <c r="J312" i="1"/>
  <c r="J177" i="1"/>
  <c r="J92" i="1"/>
  <c r="J209" i="1"/>
  <c r="J313" i="1"/>
  <c r="J24" i="1"/>
  <c r="J182" i="1"/>
  <c r="J318" i="1"/>
  <c r="J210" i="1"/>
  <c r="J314" i="1"/>
  <c r="J187" i="1"/>
  <c r="J6" i="1"/>
  <c r="J211" i="1"/>
  <c r="J212" i="1"/>
  <c r="J11" i="1"/>
  <c r="J218" i="1"/>
  <c r="J219" i="1"/>
  <c r="J226" i="1"/>
  <c r="J202" i="1"/>
  <c r="J178" i="1"/>
  <c r="J220" i="1"/>
  <c r="J320" i="1"/>
  <c r="J213" i="1"/>
  <c r="J326" i="1"/>
  <c r="J25" i="1"/>
  <c r="J336" i="1"/>
  <c r="J337" i="1"/>
  <c r="J3" i="1"/>
  <c r="J29" i="1"/>
  <c r="J324" i="1"/>
  <c r="J227" i="1"/>
  <c r="J228" i="1"/>
  <c r="J234" i="1"/>
  <c r="J235" i="1"/>
  <c r="J183" i="1"/>
  <c r="J241" i="1"/>
  <c r="J169" i="1"/>
  <c r="J32" i="1"/>
  <c r="J33" i="1"/>
  <c r="J35" i="1"/>
  <c r="J36" i="1"/>
  <c r="J214" i="1"/>
  <c r="J184" i="1"/>
  <c r="J188" i="1"/>
  <c r="J225" i="1"/>
  <c r="J242" i="1"/>
  <c r="J40" i="1"/>
  <c r="J41" i="1"/>
  <c r="J250" i="1"/>
  <c r="J199" i="1"/>
  <c r="J48" i="1"/>
  <c r="J49" i="1"/>
  <c r="J34" i="1"/>
  <c r="J54" i="1"/>
  <c r="J55" i="1"/>
  <c r="J251" i="1"/>
  <c r="J252" i="1"/>
  <c r="J18" i="1"/>
  <c r="J37" i="1"/>
  <c r="J60" i="1"/>
  <c r="J61" i="1"/>
  <c r="J229" i="1"/>
  <c r="J67" i="1"/>
  <c r="J68" i="1"/>
  <c r="J215" i="1"/>
  <c r="J243" i="1"/>
  <c r="J244" i="1"/>
  <c r="J38" i="1"/>
  <c r="J79" i="1"/>
  <c r="J80" i="1"/>
  <c r="J85" i="1"/>
  <c r="J86" i="1"/>
  <c r="J39" i="1"/>
  <c r="J62" i="1"/>
  <c r="J69" i="1"/>
  <c r="J74" i="1"/>
  <c r="J75" i="1"/>
  <c r="J63" i="1"/>
  <c r="J70" i="1"/>
  <c r="J76" i="1"/>
  <c r="J230" i="1"/>
  <c r="J245" i="1"/>
  <c r="J64" i="1"/>
  <c r="J253" i="1"/>
  <c r="J171" i="1"/>
  <c r="J216" i="1"/>
  <c r="J221" i="1"/>
  <c r="J248" i="1"/>
  <c r="J249" i="1"/>
  <c r="J258" i="1"/>
  <c r="J259" i="1"/>
  <c r="J65" i="1"/>
  <c r="J81" i="1"/>
  <c r="J236" i="1"/>
  <c r="J42" i="1"/>
  <c r="J43" i="1"/>
  <c r="J77" i="1"/>
  <c r="J82" i="1"/>
  <c r="J56" i="1"/>
  <c r="J71" i="1"/>
  <c r="J83" i="1"/>
  <c r="J93" i="1"/>
  <c r="J94" i="1"/>
  <c r="J97" i="1"/>
  <c r="J98" i="1"/>
  <c r="J231" i="1"/>
  <c r="J254" i="1"/>
  <c r="J57" i="1"/>
  <c r="J87" i="1"/>
  <c r="J217" i="1"/>
  <c r="J72" i="1"/>
  <c r="J190" i="1"/>
  <c r="J222" i="1"/>
  <c r="J237" i="1"/>
  <c r="J58" i="1"/>
  <c r="J59" i="1"/>
  <c r="J255" i="1"/>
  <c r="J307" i="1"/>
  <c r="J84" i="1"/>
  <c r="J238" i="1"/>
  <c r="J246" i="1"/>
  <c r="J50" i="1"/>
  <c r="J333" i="1"/>
  <c r="J89" i="1"/>
  <c r="J90" i="1"/>
  <c r="J256" i="1"/>
  <c r="J51" i="1"/>
  <c r="J44" i="1"/>
  <c r="J78" i="1"/>
  <c r="J99" i="1"/>
  <c r="J52" i="1"/>
  <c r="J53" i="1"/>
  <c r="J95" i="1"/>
  <c r="J224" i="1"/>
  <c r="J233" i="1"/>
  <c r="J260" i="1"/>
  <c r="J100" i="1"/>
  <c r="J96" i="1"/>
  <c r="J257" i="1"/>
  <c r="J66" i="1"/>
  <c r="J139" i="1"/>
  <c r="J140" i="1"/>
  <c r="J264" i="1"/>
  <c r="J265" i="1"/>
  <c r="J101" i="1"/>
  <c r="J103" i="1"/>
  <c r="J104" i="1"/>
  <c r="J297" i="1"/>
  <c r="J108" i="1"/>
  <c r="J109" i="1"/>
  <c r="J73" i="1"/>
  <c r="J205" i="1"/>
  <c r="J102" i="1"/>
  <c r="J105" i="1"/>
  <c r="J266" i="1"/>
  <c r="J262" i="1"/>
  <c r="J263" i="1"/>
  <c r="J268" i="1"/>
  <c r="J269" i="1"/>
  <c r="J271" i="1"/>
  <c r="J272" i="1"/>
  <c r="J232" i="1"/>
  <c r="J129" i="1"/>
  <c r="J130" i="1"/>
  <c r="J45" i="1"/>
  <c r="J46" i="1"/>
  <c r="J47" i="1"/>
  <c r="J273" i="1"/>
  <c r="J279" i="1"/>
  <c r="J280" i="1"/>
  <c r="J106" i="1"/>
  <c r="J270" i="1"/>
  <c r="J123" i="1"/>
  <c r="J124" i="1"/>
  <c r="J131" i="1"/>
  <c r="J115" i="1"/>
  <c r="J116" i="1"/>
  <c r="J134" i="1"/>
  <c r="J135" i="1"/>
  <c r="J308" i="1"/>
  <c r="J142" i="1"/>
  <c r="J155" i="1"/>
  <c r="J156" i="1"/>
  <c r="J275" i="1"/>
  <c r="J281" i="1"/>
  <c r="J282" i="1"/>
  <c r="J283" i="1"/>
  <c r="J284" i="1"/>
  <c r="J125" i="1"/>
  <c r="J143" i="1"/>
  <c r="J144" i="1"/>
  <c r="J149" i="1"/>
  <c r="J150" i="1"/>
  <c r="J161" i="1"/>
  <c r="J162" i="1"/>
  <c r="J163" i="1"/>
  <c r="J164" i="1"/>
  <c r="J157" i="1"/>
  <c r="J107" i="1"/>
  <c r="J114" i="1"/>
  <c r="J121" i="1"/>
  <c r="J122" i="1"/>
  <c r="J132" i="1"/>
  <c r="J136" i="1"/>
  <c r="J309" i="1"/>
  <c r="J145" i="1"/>
  <c r="J267" i="1"/>
  <c r="J277" i="1"/>
  <c r="J278" i="1"/>
  <c r="J285" i="1"/>
  <c r="J289" i="1"/>
  <c r="J290" i="1"/>
  <c r="J291" i="1"/>
  <c r="J292" i="1"/>
  <c r="J133" i="1"/>
  <c r="J151" i="1"/>
  <c r="J159" i="1"/>
  <c r="J293" i="1"/>
  <c r="J294" i="1"/>
  <c r="J295" i="1"/>
  <c r="J296" i="1"/>
  <c r="J310" i="1"/>
  <c r="J298" i="1"/>
  <c r="J299" i="1"/>
  <c r="J300" i="1"/>
  <c r="J302" i="1"/>
  <c r="J303" i="1"/>
  <c r="J27" i="1"/>
  <c r="J21" i="1"/>
  <c r="J9" i="1"/>
  <c r="J19" i="1"/>
  <c r="J26" i="1"/>
  <c r="J13" i="1"/>
  <c r="J4" i="1"/>
  <c r="J20" i="1"/>
  <c r="J17" i="1"/>
  <c r="J5" i="1"/>
  <c r="J22" i="1"/>
  <c r="J311" i="1"/>
  <c r="J16" i="1"/>
  <c r="J8" i="1"/>
  <c r="J304" i="1"/>
  <c r="J7" i="1"/>
  <c r="J165" i="1"/>
  <c r="AI234" i="1" l="1"/>
  <c r="Y10" i="1"/>
  <c r="AF10" i="1"/>
  <c r="AG10" i="1" s="1"/>
  <c r="Z31" i="1"/>
  <c r="AE31" i="1" s="1"/>
  <c r="AF31" i="1"/>
  <c r="AG31" i="1" s="1"/>
  <c r="Z165" i="1"/>
  <c r="AE165" i="1" s="1"/>
  <c r="Y31" i="1"/>
  <c r="Z10" i="1"/>
  <c r="AE10" i="1" s="1"/>
  <c r="AG54" i="1"/>
  <c r="Y54" i="1"/>
  <c r="Z54" i="1" l="1"/>
  <c r="AI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Janaina Silva de Oliveira</author>
  </authors>
  <commentList>
    <comment ref="O5" authorId="0" shapeId="0" xr:uid="{F6490E1C-0EB1-437B-B3DC-36AAF245EA68}">
      <text>
        <r>
          <rPr>
            <sz val="9"/>
            <color indexed="81"/>
            <rFont val="Segoe UI"/>
            <family val="2"/>
          </rPr>
          <t xml:space="preserve">
Trata-se de uma acordo CELETRO - CNPJ: 87.776.043.0001/41</t>
        </r>
      </text>
    </comment>
    <comment ref="I42" authorId="0" shapeId="0" xr:uid="{5E4085E8-1992-4FD3-8DE6-464C7E05A19C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Aptos Narrow"/>
            <family val="2"/>
            <scheme val="minor"/>
          </rPr>
          <t>Valor complementar de outubro/21</t>
        </r>
      </text>
    </comment>
    <comment ref="I43" authorId="0" shapeId="0" xr:uid="{A867AFC3-8EFC-4F9E-BFE9-AD4920793148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Aptos Narrow"/>
            <family val="2"/>
            <scheme val="minor"/>
          </rPr>
          <t>Valor complementar de outubro/21</t>
        </r>
      </text>
    </comment>
    <comment ref="H307" authorId="0" shapeId="0" xr:uid="{786AE41F-A39C-4D09-9145-F32E10428D82}">
      <text>
        <r>
          <rPr>
            <sz val="10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Aptos Narrow"/>
            <family val="2"/>
            <scheme val="minor"/>
          </rPr>
          <t>Autorizado pelo André do MME, utilizar dos restos a pagar.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Janaina Silva de Oliveira</author>
  </authors>
  <commentList>
    <comment ref="C7" authorId="0" shapeId="0" xr:uid="{A3C01D91-98C4-4E0A-A97D-46D0448B786F}">
      <text>
        <r>
          <rPr>
            <sz val="9"/>
            <color indexed="81"/>
            <rFont val="Segoe UI"/>
            <family val="2"/>
          </rPr>
          <t xml:space="preserve">
Trata-se de uma acordo CELETRO - CNPJ: 87.776.043.0001/41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Janaina Silva de Oliveira</author>
  </authors>
  <commentList>
    <comment ref="O32" authorId="0" shapeId="0" xr:uid="{6A10B824-69B2-4ED1-A0F0-CF03698AF895}">
      <text>
        <r>
          <rPr>
            <sz val="9"/>
            <color indexed="81"/>
            <rFont val="Segoe UI"/>
            <family val="2"/>
          </rPr>
          <t xml:space="preserve">
Trata-se de uma acordo CELETRO - CNPJ: 87.776.043.0001/41</t>
        </r>
      </text>
    </comment>
    <comment ref="O33" authorId="0" shapeId="0" xr:uid="{76870FC2-9D73-4A2C-B78D-E6F065778BDB}">
      <text>
        <r>
          <rPr>
            <sz val="9"/>
            <color indexed="81"/>
            <rFont val="Segoe UI"/>
            <family val="2"/>
          </rPr>
          <t xml:space="preserve">
Trata-se de uma acordo CELETRO - CNPJ: 87.776.043.0001/41</t>
        </r>
      </text>
    </comment>
  </commentList>
</comments>
</file>

<file path=xl/sharedStrings.xml><?xml version="1.0" encoding="utf-8"?>
<sst xmlns="http://schemas.openxmlformats.org/spreadsheetml/2006/main" count="7894" uniqueCount="391">
  <si>
    <t>Soma de Valor Contrato Mil</t>
  </si>
  <si>
    <t>Soma de Valor CDE Mil</t>
  </si>
  <si>
    <t>Soma de Participação CDE %</t>
  </si>
  <si>
    <t>Contrato</t>
  </si>
  <si>
    <t>Responsavel</t>
  </si>
  <si>
    <t>ECM 014/2024</t>
  </si>
  <si>
    <t>ENBPar</t>
  </si>
  <si>
    <t>ECO 029/2024</t>
  </si>
  <si>
    <t>ECO 025/2021</t>
  </si>
  <si>
    <t>ECO 027/2021</t>
  </si>
  <si>
    <t>ECO 028/2024</t>
  </si>
  <si>
    <t>ECO 030/2024</t>
  </si>
  <si>
    <t>ECM 019/2025</t>
  </si>
  <si>
    <t>ECO 032/2025</t>
  </si>
  <si>
    <t>ECM 018/2025</t>
  </si>
  <si>
    <t>ECO 033/2025</t>
  </si>
  <si>
    <t>ECM 024/2025</t>
  </si>
  <si>
    <t>ECM 016/2025</t>
  </si>
  <si>
    <t>ECM 023/2025</t>
  </si>
  <si>
    <t>ECO 035/2025</t>
  </si>
  <si>
    <t>ECM 020/2025</t>
  </si>
  <si>
    <t>ECM 021/2025</t>
  </si>
  <si>
    <t>ECM 027/2025</t>
  </si>
  <si>
    <t>ECM 026/2025</t>
  </si>
  <si>
    <t>ECM 022/2025</t>
  </si>
  <si>
    <t>ECM 017/2025</t>
  </si>
  <si>
    <t>ECO 037/2025</t>
  </si>
  <si>
    <t>ECO 031/2025</t>
  </si>
  <si>
    <t>ECO 043 2025</t>
  </si>
  <si>
    <t>ECO 040/2025</t>
  </si>
  <si>
    <t>ECO 039/2025</t>
  </si>
  <si>
    <t>ECO 038 2025</t>
  </si>
  <si>
    <t>ECO 041/2025</t>
  </si>
  <si>
    <t>ECO 042/2025</t>
  </si>
  <si>
    <t>ECO 036/2025</t>
  </si>
  <si>
    <t>ECM  011/2022</t>
  </si>
  <si>
    <t>Encerrado</t>
  </si>
  <si>
    <t>ECM 015/2024</t>
  </si>
  <si>
    <t>ECO 024/2021</t>
  </si>
  <si>
    <t>ECO 020/2020</t>
  </si>
  <si>
    <t>ECO 023/2021</t>
  </si>
  <si>
    <t>ECM 012/2023</t>
  </si>
  <si>
    <t>ECM 005/2023</t>
  </si>
  <si>
    <t>ECM 006/2021</t>
  </si>
  <si>
    <t>ECM 004/2021</t>
  </si>
  <si>
    <t>ECO 026/2021</t>
  </si>
  <si>
    <t>ECO 015/2019</t>
  </si>
  <si>
    <t>ECO 019/2020</t>
  </si>
  <si>
    <t>ECO 011/2018</t>
  </si>
  <si>
    <t>ECM 013/2023</t>
  </si>
  <si>
    <t>ECO 021/2020</t>
  </si>
  <si>
    <t>ECM 009/2022</t>
  </si>
  <si>
    <t>Rótulos de Linha</t>
  </si>
  <si>
    <t xml:space="preserve">Soma de Valor Pago  Mil </t>
  </si>
  <si>
    <t>ECFS 101/2005</t>
  </si>
  <si>
    <t>ECFS 108/2005</t>
  </si>
  <si>
    <t>ECFS 130/2006</t>
  </si>
  <si>
    <t>ECFS 135/2006</t>
  </si>
  <si>
    <t>ECFS 202/2007</t>
  </si>
  <si>
    <t>ECFS 261/2009</t>
  </si>
  <si>
    <t>ECFS 278/2009</t>
  </si>
  <si>
    <t>ECFS 280/2009</t>
  </si>
  <si>
    <t>ECFS 283/2010</t>
  </si>
  <si>
    <t>ECFS 284/2010</t>
  </si>
  <si>
    <t>ECFS 302/2010</t>
  </si>
  <si>
    <t>ECFS 306/2010</t>
  </si>
  <si>
    <t>ECFS 307/2010</t>
  </si>
  <si>
    <t>ECFS 310/2010</t>
  </si>
  <si>
    <t>ECFS 326/2012</t>
  </si>
  <si>
    <t>ECFS 327/2013</t>
  </si>
  <si>
    <t>ECFS 328/2013</t>
  </si>
  <si>
    <t>ECFS 329/2013</t>
  </si>
  <si>
    <t>ECFS 330/2013</t>
  </si>
  <si>
    <t>ECFS 331/2013</t>
  </si>
  <si>
    <t>ECFS 333/2013</t>
  </si>
  <si>
    <t>ECFS 335/2013</t>
  </si>
  <si>
    <t>ECFS 338/2013</t>
  </si>
  <si>
    <t>ECFS 339/2013</t>
  </si>
  <si>
    <t>ECFS 340/2013</t>
  </si>
  <si>
    <t>ECFS 341/2013</t>
  </si>
  <si>
    <t>ECFS 343/2013</t>
  </si>
  <si>
    <t>ECFS-332/2013</t>
  </si>
  <si>
    <t>ECM 001/2020</t>
  </si>
  <si>
    <t>ECM 002/2021</t>
  </si>
  <si>
    <t>ECM 003/2021</t>
  </si>
  <si>
    <t>ECM 005/2021</t>
  </si>
  <si>
    <t>ECM 007/2021</t>
  </si>
  <si>
    <t>ECM 008/2022</t>
  </si>
  <si>
    <t>ECM 010/2022</t>
  </si>
  <si>
    <t>ECM 011/2022</t>
  </si>
  <si>
    <t>ECO 001/2018</t>
  </si>
  <si>
    <t>ECO 002/2017</t>
  </si>
  <si>
    <t>ECO 004/2017</t>
  </si>
  <si>
    <t>ECO 005/2017</t>
  </si>
  <si>
    <t>ECO 006/2017</t>
  </si>
  <si>
    <t>ECO 007/2017</t>
  </si>
  <si>
    <t>ECO 008/2017</t>
  </si>
  <si>
    <t>ECO 009/2017</t>
  </si>
  <si>
    <t>ECO 010/2018</t>
  </si>
  <si>
    <t>ECO 012/2018</t>
  </si>
  <si>
    <t>ECO 013/2018</t>
  </si>
  <si>
    <t>ECO 016/2019</t>
  </si>
  <si>
    <t>ECO 017/2019</t>
  </si>
  <si>
    <t>ECO 018/2019</t>
  </si>
  <si>
    <t>ECO 022/2021</t>
  </si>
  <si>
    <t>ECO 038/2025</t>
  </si>
  <si>
    <t>ECO 043/2025</t>
  </si>
  <si>
    <t>ECOT 001/2018</t>
  </si>
  <si>
    <t>ECOT 002/2017</t>
  </si>
  <si>
    <t>ECOT 003/2017</t>
  </si>
  <si>
    <t>ECOT 004/2017</t>
  </si>
  <si>
    <t>ECOT 005/2017</t>
  </si>
  <si>
    <t>ECOT 006/2017</t>
  </si>
  <si>
    <t>ECOT 007/2017</t>
  </si>
  <si>
    <t>ECOT 008/2017</t>
  </si>
  <si>
    <t>ECOT 009/2017</t>
  </si>
  <si>
    <t>ECOT 010/2017</t>
  </si>
  <si>
    <t>ECOT 011/2017</t>
  </si>
  <si>
    <t>ECOT 012/2017</t>
  </si>
  <si>
    <t>ECOT 013/2017</t>
  </si>
  <si>
    <t>ECOT 014/2017</t>
  </si>
  <si>
    <t>ECOT 015/2017</t>
  </si>
  <si>
    <t>ECOT 016/2017</t>
  </si>
  <si>
    <t>ECO 034/2026</t>
  </si>
  <si>
    <t>ECM 025/2026</t>
  </si>
  <si>
    <t>Total Geral</t>
  </si>
  <si>
    <t xml:space="preserve">% de Recebimento </t>
  </si>
  <si>
    <t>Mês Caixa</t>
  </si>
  <si>
    <t>Distribuidoras</t>
  </si>
  <si>
    <t>Sigla</t>
  </si>
  <si>
    <t>Razão Social</t>
  </si>
  <si>
    <t>CNPJ</t>
  </si>
  <si>
    <t>Rubrica</t>
  </si>
  <si>
    <t>Competência</t>
  </si>
  <si>
    <t xml:space="preserve">Valor para Pagamento </t>
  </si>
  <si>
    <t>Valor Pago</t>
  </si>
  <si>
    <t xml:space="preserve">Valor Pago  Mil </t>
  </si>
  <si>
    <t>Data do Pagamento</t>
  </si>
  <si>
    <t>Status</t>
  </si>
  <si>
    <t xml:space="preserve">Numero do Contrato </t>
  </si>
  <si>
    <t>Tranche</t>
  </si>
  <si>
    <t>Parcela</t>
  </si>
  <si>
    <t>UF</t>
  </si>
  <si>
    <t xml:space="preserve">Classificação </t>
  </si>
  <si>
    <t>Valor Contrato</t>
  </si>
  <si>
    <t>Valor Contrato Mil</t>
  </si>
  <si>
    <t>Valor CDE</t>
  </si>
  <si>
    <t>Valor CDE Mil</t>
  </si>
  <si>
    <t>Participação CDE %</t>
  </si>
  <si>
    <t xml:space="preserve">Tipo do Contrato </t>
  </si>
  <si>
    <t>Valor Devolvido com Selic</t>
  </si>
  <si>
    <t xml:space="preserve">Devoluçã Mil Selic </t>
  </si>
  <si>
    <t xml:space="preserve">% Devoluação Selic </t>
  </si>
  <si>
    <t>Status2</t>
  </si>
  <si>
    <t>Tranche II</t>
  </si>
  <si>
    <t>Abertura Distribuidora</t>
  </si>
  <si>
    <t xml:space="preserve">Responsavel do Contrato </t>
  </si>
  <si>
    <t>Glosa Total com a Parcela Faltante</t>
  </si>
  <si>
    <t>Valor Principal</t>
  </si>
  <si>
    <t xml:space="preserve">Valor Principal MIL </t>
  </si>
  <si>
    <t xml:space="preserve">Parcela Final </t>
  </si>
  <si>
    <t xml:space="preserve">Glosa em Mil </t>
  </si>
  <si>
    <t xml:space="preserve">Custo Direto </t>
  </si>
  <si>
    <t xml:space="preserve">Custo Direto  Mil </t>
  </si>
  <si>
    <t>Custo Direto %</t>
  </si>
  <si>
    <t xml:space="preserve">Custo Indireto </t>
  </si>
  <si>
    <t xml:space="preserve">Custo Indireto  Mil </t>
  </si>
  <si>
    <t>Custo Indireto  %</t>
  </si>
  <si>
    <t>Observação</t>
  </si>
  <si>
    <t xml:space="preserve">Avanço Fisico </t>
  </si>
  <si>
    <t>CPFL</t>
  </si>
  <si>
    <t>COMPANHIA JAGUARI DE ENERGIA</t>
  </si>
  <si>
    <t>53.859.112/0001-69</t>
  </si>
  <si>
    <t>Programa Luz para Todos</t>
  </si>
  <si>
    <t>Sistema Antigo</t>
  </si>
  <si>
    <t>Pago</t>
  </si>
  <si>
    <t>2ª Tranche</t>
  </si>
  <si>
    <t>parcela final</t>
  </si>
  <si>
    <t>SP</t>
  </si>
  <si>
    <t>Liberações</t>
  </si>
  <si>
    <t>LPT</t>
  </si>
  <si>
    <t>02ª</t>
  </si>
  <si>
    <t>OUTROS</t>
  </si>
  <si>
    <t>Eletrobras</t>
  </si>
  <si>
    <t>-</t>
  </si>
  <si>
    <t>CPFL Jaguari</t>
  </si>
  <si>
    <t>00.001.180/0002-07</t>
  </si>
  <si>
    <t>EQUATORIAL</t>
  </si>
  <si>
    <t>EQUATORIAL AMAPÁ</t>
  </si>
  <si>
    <t>CENTRAIS ELÉTRICAS DO NORTE DO BRASIL S.A.</t>
  </si>
  <si>
    <t>00.357.038/0001-16</t>
  </si>
  <si>
    <t>1ª Tranche</t>
  </si>
  <si>
    <t>AP</t>
  </si>
  <si>
    <t>01ª</t>
  </si>
  <si>
    <t xml:space="preserve">EQUATORIAL RIO GRANDE DO SUL </t>
  </si>
  <si>
    <t>CENTRAIS ELÉTRICAS BRASILEIRAS</t>
  </si>
  <si>
    <t>Acordo ELTB</t>
  </si>
  <si>
    <t>RS</t>
  </si>
  <si>
    <t>ENERGISA</t>
  </si>
  <si>
    <t>ENERGISA AC</t>
  </si>
  <si>
    <t>ENERGISA ACRE - DISTRIBUIDORA DE ENERGIA S.A</t>
  </si>
  <si>
    <t>04.065.033/0001-70</t>
  </si>
  <si>
    <t>3ª Tranche</t>
  </si>
  <si>
    <t>AC</t>
  </si>
  <si>
    <t>03ª</t>
  </si>
  <si>
    <t>ENERGISA RO</t>
  </si>
  <si>
    <t>ENERGISA RONDONIA - DISTRIBUIDORA DE ENERGIA S.A</t>
  </si>
  <si>
    <t>05.914.650/0001-66</t>
  </si>
  <si>
    <t>4ª Tranche</t>
  </si>
  <si>
    <t>RO</t>
  </si>
  <si>
    <t>04ª</t>
  </si>
  <si>
    <t>EQUATORIAL PARÁ</t>
  </si>
  <si>
    <t>EQUATORIAL PARA DISTRIBUIDORA DE ENERGIA S.A.</t>
  </si>
  <si>
    <t>04.895.728/0001-80</t>
  </si>
  <si>
    <t>PA</t>
  </si>
  <si>
    <t>ENERGISA TO</t>
  </si>
  <si>
    <t>ENERGISA TOCANTINS DISTRIBUIDORA DE ENERGIA S.A.</t>
  </si>
  <si>
    <t>TO</t>
  </si>
  <si>
    <t>COMPANHIA ESTADUAL DE DISTRIBUIÇÃO DE ENERGIA ELÉTRICA</t>
  </si>
  <si>
    <t>08.467.115/0001-00</t>
  </si>
  <si>
    <t>5ª Tranche</t>
  </si>
  <si>
    <t>05ª</t>
  </si>
  <si>
    <t>CERCI</t>
  </si>
  <si>
    <t>COOPERATIVA DE ELETRIFICAÇÃO RURAL CACHOEIRAS – ITABORAÍ LTDA</t>
  </si>
  <si>
    <t>27.707.397/0001-02</t>
  </si>
  <si>
    <t>RJ</t>
  </si>
  <si>
    <t xml:space="preserve">NEOENERGIA </t>
  </si>
  <si>
    <t>NEOENERGIA</t>
  </si>
  <si>
    <t>CENTRAIS ELETRICAS BRASILEIRAS SA ELETROBRAS</t>
  </si>
  <si>
    <t>6ª Tranche</t>
  </si>
  <si>
    <t>06ª</t>
  </si>
  <si>
    <t>ELEKTRO ELETRICIDADE E SERVIÇOS S.A.</t>
  </si>
  <si>
    <t>02.328.280/0001-97</t>
  </si>
  <si>
    <t>ENEL</t>
  </si>
  <si>
    <t xml:space="preserve">COELCE </t>
  </si>
  <si>
    <t>COMPANHIA ENERGETICA DO CEARA</t>
  </si>
  <si>
    <t>07.047.251/0001-70</t>
  </si>
  <si>
    <t>7ª Tranche</t>
  </si>
  <si>
    <t>CE</t>
  </si>
  <si>
    <t>07ª</t>
  </si>
  <si>
    <t>EQUATORIAL ALAGOAS</t>
  </si>
  <si>
    <t>EQUATORIAL ALAGOAS DISTRIBUIDORA DE ENERGIA S.A.</t>
  </si>
  <si>
    <t>12.272.084/0001-00</t>
  </si>
  <si>
    <t>8ª Tranche</t>
  </si>
  <si>
    <t>AL</t>
  </si>
  <si>
    <t>08ª</t>
  </si>
  <si>
    <t>Compensado</t>
  </si>
  <si>
    <t>AMPLA</t>
  </si>
  <si>
    <t>AMPLA ENERGIA E SERVIÇOS S.A.</t>
  </si>
  <si>
    <t>33.050.071/0001-58</t>
  </si>
  <si>
    <t>ELEKTRO ELETRICIDADE E SERVIÇOS S/A</t>
  </si>
  <si>
    <t>MS</t>
  </si>
  <si>
    <t>AMAZONAS ENERGIA</t>
  </si>
  <si>
    <t>AMAZONAS ENERGIA S.A</t>
  </si>
  <si>
    <t>02.341.467/0001-20</t>
  </si>
  <si>
    <t>AM</t>
  </si>
  <si>
    <t>COPEL</t>
  </si>
  <si>
    <t>COPEL-DIS</t>
  </si>
  <si>
    <t>COPEL DISTRIBUIÇÃO S.A.</t>
  </si>
  <si>
    <t>04.368.898/0001-06</t>
  </si>
  <si>
    <t>PR</t>
  </si>
  <si>
    <t>CEDRI</t>
  </si>
  <si>
    <t>Coop. Energização E Desenv. Ruraldo Vale Do Itariri Ltda</t>
  </si>
  <si>
    <t>50.105.865/0001-90</t>
  </si>
  <si>
    <t>ENERGISA MS</t>
  </si>
  <si>
    <t>ENERGISA MATO GROSSO DO SUL - DISTRIBUIDORA DE ENERGIA S.A.</t>
  </si>
  <si>
    <t>15.413.826/0001-50</t>
  </si>
  <si>
    <t xml:space="preserve">CIA. ENERGÉTICA DE PERNAMBUCO S. A. </t>
  </si>
  <si>
    <t>10.835.932/0001-08</t>
  </si>
  <si>
    <t>PE</t>
  </si>
  <si>
    <t>COMPANHIA ENERGÉTICA DO RIO GRANDE DO NORTE</t>
  </si>
  <si>
    <t>08.324.196/0001-81</t>
  </si>
  <si>
    <t>RN</t>
  </si>
  <si>
    <t>ENERGISA SE</t>
  </si>
  <si>
    <t>ENERGISA SERGIPE - DISTRIBUIDORA DE ENERGIA S.A</t>
  </si>
  <si>
    <t>13.017.462/0001-63</t>
  </si>
  <si>
    <t>SE</t>
  </si>
  <si>
    <t>25.086.034/0001-71</t>
  </si>
  <si>
    <t>EQUATORIAL MARANHÃO</t>
  </si>
  <si>
    <t>EQUATORIAL MARANHAO DISTRIBUIDORA DE ENERGIA S.A</t>
  </si>
  <si>
    <t>06.272.793/0001-84</t>
  </si>
  <si>
    <t>MA</t>
  </si>
  <si>
    <t xml:space="preserve">Encerrado </t>
  </si>
  <si>
    <t>Mais Luz para Amazônia</t>
  </si>
  <si>
    <t>1ª</t>
  </si>
  <si>
    <t>MLA</t>
  </si>
  <si>
    <t xml:space="preserve">2ª </t>
  </si>
  <si>
    <t>2ª</t>
  </si>
  <si>
    <t xml:space="preserve">3ª </t>
  </si>
  <si>
    <t>4ª</t>
  </si>
  <si>
    <t>RORAIMA ENERGIA</t>
  </si>
  <si>
    <t>RR</t>
  </si>
  <si>
    <t>Encerramento</t>
  </si>
  <si>
    <t>Aguardando Resultado da IF</t>
  </si>
  <si>
    <t>RORAIMA ENERGIA S.A</t>
  </si>
  <si>
    <t>02.341.470/0001-44</t>
  </si>
  <si>
    <t>3ª</t>
  </si>
  <si>
    <t>5ª</t>
  </si>
  <si>
    <t xml:space="preserve">1ª </t>
  </si>
  <si>
    <t>Finalizando Relátorio</t>
  </si>
  <si>
    <t>Falta Aprovação da Diretoria</t>
  </si>
  <si>
    <t xml:space="preserve">5ª </t>
  </si>
  <si>
    <t>ENERGISA MT</t>
  </si>
  <si>
    <t>MT</t>
  </si>
  <si>
    <t>Aguendar Supervisão Financeira</t>
  </si>
  <si>
    <t>ENERGISA MATO GROSSO - DISTRIBUIDORA DE ENERGIA S.A.</t>
  </si>
  <si>
    <t>03.467.321/0001-99</t>
  </si>
  <si>
    <t>COMPANHIA DE ELETRICIDADE DO AMAPA CEA</t>
  </si>
  <si>
    <t>05.965.546/0001-09</t>
  </si>
  <si>
    <t xml:space="preserve">Aguardando a IF </t>
  </si>
  <si>
    <t>Andamento</t>
  </si>
  <si>
    <t>EMPRESA BRASILEIRA DE PARTICIPACOES EM ENERGIA NUCLEAR E BINACIONAL S.A. - ENBPAR</t>
  </si>
  <si>
    <t>43.913.162/0001-23</t>
  </si>
  <si>
    <t>COELBA</t>
  </si>
  <si>
    <t>9ª Tranche</t>
  </si>
  <si>
    <t>BA</t>
  </si>
  <si>
    <t>09ª</t>
  </si>
  <si>
    <t>BOA VISTA ENERGIA S.A.</t>
  </si>
  <si>
    <t>CENTRAIS ELÉTRICAS DO NORTE DO BRASIL S/A - ELETRONORTE</t>
  </si>
  <si>
    <t>Aguardando a Nova IF, após Contestação</t>
  </si>
  <si>
    <t>10ª Tranche</t>
  </si>
  <si>
    <t>10ª</t>
  </si>
  <si>
    <t>Aguardando Consulta CONJUR</t>
  </si>
  <si>
    <t>6ª</t>
  </si>
  <si>
    <t>EQUATORIAL PIAUI</t>
  </si>
  <si>
    <t>PI</t>
  </si>
  <si>
    <t>EQUATORIAL PIAUI DISTRIBUIDORA DE ENERGIA S.A</t>
  </si>
  <si>
    <t>06.840.748/0001-89</t>
  </si>
  <si>
    <t>EQUATORIAL GOIÁS</t>
  </si>
  <si>
    <t>GO</t>
  </si>
  <si>
    <t>11ª Tranche</t>
  </si>
  <si>
    <t>11ª</t>
  </si>
  <si>
    <t>COMPANHIA DE ELETRICIDADE DO ESTADO DA BAHIA COELBA</t>
  </si>
  <si>
    <t>15.139.629/0001-94</t>
  </si>
  <si>
    <t>12ª Tranche</t>
  </si>
  <si>
    <t>12ª</t>
  </si>
  <si>
    <t>COOPERATIVA DE ELETRIFICACAO RURAL CACHOEIRAS ITABORAI LTDA</t>
  </si>
  <si>
    <t>ENERGISA PB</t>
  </si>
  <si>
    <t>ENERGISA PARAIBA - DISTRIBUIDORA DE ENERGIA S.A</t>
  </si>
  <si>
    <t>09.095.183/0001-40</t>
  </si>
  <si>
    <t>PB</t>
  </si>
  <si>
    <t>EQUATORIAL GOIAS DISTRIBUIDORA DE ENERGIA S/A</t>
  </si>
  <si>
    <t>01.543.032/0001-04</t>
  </si>
  <si>
    <t>Companhia de Eletricidade do Amapá – CEA Equatorial Amapá</t>
  </si>
  <si>
    <t>COMPANHIA ENERGÉTICA DE ALAGOAS</t>
  </si>
  <si>
    <t>ÂMBAR</t>
  </si>
  <si>
    <t>ÂMBAR AMAZONAS</t>
  </si>
  <si>
    <t>ÂMBAR ENERGIA AMAZONAS S.A.</t>
  </si>
  <si>
    <t>tranche</t>
  </si>
  <si>
    <t>ECFS 318/2011</t>
  </si>
  <si>
    <t>Encerramento do Contrato</t>
  </si>
  <si>
    <t>ECFS 342/2013</t>
  </si>
  <si>
    <t>ECFS 347/2014</t>
  </si>
  <si>
    <t>1º</t>
  </si>
  <si>
    <t xml:space="preserve">2º </t>
  </si>
  <si>
    <t>2º</t>
  </si>
  <si>
    <t xml:space="preserve">3º </t>
  </si>
  <si>
    <t>4º</t>
  </si>
  <si>
    <t>ECM 004/2024</t>
  </si>
  <si>
    <t>3º</t>
  </si>
  <si>
    <t>5º</t>
  </si>
  <si>
    <t xml:space="preserve">1º </t>
  </si>
  <si>
    <t xml:space="preserve">5º </t>
  </si>
  <si>
    <t>2º e 3º</t>
  </si>
  <si>
    <t>3º e 4º</t>
  </si>
  <si>
    <t>2º, 3º e 4º</t>
  </si>
  <si>
    <t>4ºe 5º</t>
  </si>
  <si>
    <t>6º</t>
  </si>
  <si>
    <t>ECO 019/2024</t>
  </si>
  <si>
    <t xml:space="preserve">2º e 3º </t>
  </si>
  <si>
    <t>ECOT 015/2018</t>
  </si>
  <si>
    <t>Valor Devido</t>
  </si>
  <si>
    <t xml:space="preserve">Devolução Mil </t>
  </si>
  <si>
    <t>Restituição - Programa Luz para Todos</t>
  </si>
  <si>
    <t>Recebida</t>
  </si>
  <si>
    <t>Devoluções</t>
  </si>
  <si>
    <t>Restituição - Programa Luz para Todos - atualização</t>
  </si>
  <si>
    <t>Restituição - Programa Luz para Todos - juros</t>
  </si>
  <si>
    <t>Taxa Administrativa</t>
  </si>
  <si>
    <t>Restituição - Programa Luz para Todos - juros por atraso</t>
  </si>
  <si>
    <t>BM2</t>
  </si>
  <si>
    <t>4º Tranche</t>
  </si>
  <si>
    <t>Restituição - Programa Luz para Todos - multa por atraso</t>
  </si>
  <si>
    <t>ECOT 001/2017</t>
  </si>
  <si>
    <t>Restituição - Mais Luz para Amazônia</t>
  </si>
  <si>
    <t>Restituição</t>
  </si>
  <si>
    <t>Restituição - Mais Luz para Amazônia - atualização</t>
  </si>
  <si>
    <t>compensado</t>
  </si>
  <si>
    <t>9º tranche</t>
  </si>
  <si>
    <t>Restituição Mais Luz para Amazônia - juros</t>
  </si>
  <si>
    <t>Restituição Mais Luz para Amazônia - multa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</si>
</sst>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&quot;.&quot;000&quot;.&quot;000&quot;/&quot;0000&quot;-&quot;00"/>
    <numFmt numFmtId="165" formatCode="mmmm/yyyy"/>
    <numFmt numFmtId="166" formatCode="_(* #,##0.00_);_(* \(#,##0.00\);_(* &quot;-&quot;??_);_(@_)"/>
    <numFmt numFmtId="167" formatCode="_-* #,##0_-;\-* #,##0_-;_-* &quot;-&quot;??_-;_-@_-"/>
    <numFmt numFmtId="168" formatCode="&quot;R$&quot;\ #,##0.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rgb="FF08296C"/>
      <name val="Aptos Narrow"/>
      <family val="2"/>
      <scheme val="minor"/>
    </font>
    <font>
      <sz val="10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indexed="81"/>
      <name val="Segoe UI"/>
      <family val="2"/>
    </font>
    <font>
      <sz val="10"/>
      <color indexed="81"/>
      <name val="Aptos Narrow"/>
      <family val="2"/>
      <scheme val="minor"/>
    </font>
    <font>
      <sz val="10"/>
      <color indexed="81"/>
      <name val="Segoe UI"/>
      <family val="2"/>
    </font>
    <font>
      <b/>
      <sz val="10"/>
      <color theme="0"/>
      <name val="Aptos Narrow"/>
      <family val="2"/>
      <scheme val="minor"/>
    </font>
    <font>
      <sz val="10"/>
      <color rgb="FF0A0A0A"/>
      <name val="Arial Unicode MS"/>
    </font>
    <font>
      <b/>
      <sz val="13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3"/>
      <color theme="1" tint="0.24994659260841701"/>
      <name val="Aptos Display"/>
      <family val="2"/>
      <scheme val="major"/>
    </font>
    <font>
      <sz val="10"/>
      <color rgb="FF08296C"/>
      <name val="Aptos Narrow"/>
      <family val="2"/>
    </font>
    <font>
      <sz val="10"/>
      <color rgb="FF00206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1" fillId="0" borderId="4" applyNumberFormat="0" applyFill="0" applyAlignment="0" applyProtection="0"/>
    <xf numFmtId="0" fontId="14" fillId="0" borderId="0" applyFill="0" applyBorder="0" applyProtection="0">
      <alignment horizontal="left" wrapText="1"/>
    </xf>
  </cellStyleXfs>
  <cellXfs count="105">
    <xf numFmtId="0" fontId="0" fillId="0" borderId="0" xfId="0"/>
    <xf numFmtId="43" fontId="0" fillId="0" borderId="0" xfId="1" applyFont="1"/>
    <xf numFmtId="0" fontId="3" fillId="0" borderId="1" xfId="0" applyFont="1" applyBorder="1" applyAlignment="1">
      <alignment vertical="center"/>
    </xf>
    <xf numFmtId="164" fontId="3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quotePrefix="1" applyNumberFormat="1" applyFont="1" applyBorder="1" applyAlignment="1">
      <alignment horizontal="center" vertical="center"/>
    </xf>
    <xf numFmtId="44" fontId="4" fillId="0" borderId="1" xfId="2" applyFont="1" applyFill="1" applyBorder="1" applyAlignment="1">
      <alignment horizontal="center" vertical="center"/>
    </xf>
    <xf numFmtId="167" fontId="3" fillId="0" borderId="1" xfId="5" applyNumberFormat="1" applyFont="1" applyFill="1" applyBorder="1" applyAlignment="1">
      <alignment horizontal="center" vertical="center"/>
    </xf>
    <xf numFmtId="0" fontId="5" fillId="0" borderId="1" xfId="0" applyFont="1" applyBorder="1"/>
    <xf numFmtId="43" fontId="0" fillId="0" borderId="1" xfId="1" applyFont="1" applyBorder="1"/>
    <xf numFmtId="10" fontId="0" fillId="0" borderId="1" xfId="3" applyNumberFormat="1" applyFont="1" applyBorder="1"/>
    <xf numFmtId="0" fontId="0" fillId="0" borderId="1" xfId="0" applyBorder="1"/>
    <xf numFmtId="14" fontId="4" fillId="0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7" fontId="3" fillId="0" borderId="1" xfId="5" applyNumberFormat="1" applyFont="1" applyFill="1" applyBorder="1" applyAlignment="1">
      <alignment horizontal="center"/>
    </xf>
    <xf numFmtId="17" fontId="3" fillId="0" borderId="1" xfId="0" quotePrefix="1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5" fontId="3" fillId="0" borderId="1" xfId="0" quotePrefix="1" applyNumberFormat="1" applyFont="1" applyBorder="1" applyAlignment="1">
      <alignment horizontal="center"/>
    </xf>
    <xf numFmtId="44" fontId="4" fillId="0" borderId="1" xfId="2" applyFont="1" applyFill="1" applyBorder="1" applyAlignment="1">
      <alignment horizontal="center"/>
    </xf>
    <xf numFmtId="167" fontId="3" fillId="0" borderId="1" xfId="1" applyNumberFormat="1" applyFont="1" applyFill="1" applyBorder="1" applyAlignment="1">
      <alignment horizontal="center"/>
    </xf>
    <xf numFmtId="0" fontId="3" fillId="0" borderId="1" xfId="5" applyNumberFormat="1" applyFont="1" applyFill="1" applyBorder="1" applyAlignment="1">
      <alignment horizontal="center"/>
    </xf>
    <xf numFmtId="164" fontId="3" fillId="0" borderId="1" xfId="0" quotePrefix="1" applyNumberFormat="1" applyFont="1" applyBorder="1" applyAlignment="1">
      <alignment horizontal="center"/>
    </xf>
    <xf numFmtId="14" fontId="4" fillId="0" borderId="1" xfId="2" applyNumberFormat="1" applyFont="1" applyFill="1" applyBorder="1" applyAlignment="1">
      <alignment horizontal="center"/>
    </xf>
    <xf numFmtId="17" fontId="3" fillId="2" borderId="1" xfId="0" quotePrefix="1" applyNumberFormat="1" applyFont="1" applyFill="1" applyBorder="1" applyAlignment="1">
      <alignment horizontal="center"/>
    </xf>
    <xf numFmtId="0" fontId="3" fillId="2" borderId="1" xfId="0" applyFont="1" applyFill="1" applyBorder="1"/>
    <xf numFmtId="164" fontId="3" fillId="2" borderId="1" xfId="0" quotePrefix="1" applyNumberFormat="1" applyFont="1" applyFill="1" applyBorder="1" applyAlignment="1">
      <alignment horizontal="center"/>
    </xf>
    <xf numFmtId="165" fontId="3" fillId="2" borderId="1" xfId="0" quotePrefix="1" applyNumberFormat="1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67" fontId="3" fillId="2" borderId="1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4" fillId="0" borderId="1" xfId="1" applyFont="1" applyFill="1" applyBorder="1" applyAlignment="1">
      <alignment vertical="center"/>
    </xf>
    <xf numFmtId="43" fontId="4" fillId="0" borderId="1" xfId="1" applyFont="1" applyFill="1" applyBorder="1"/>
    <xf numFmtId="43" fontId="4" fillId="0" borderId="1" xfId="1" applyFont="1" applyFill="1" applyBorder="1" applyAlignment="1"/>
    <xf numFmtId="167" fontId="3" fillId="0" borderId="1" xfId="5" applyNumberFormat="1" applyFont="1" applyFill="1" applyBorder="1" applyAlignment="1">
      <alignment horizontal="left" vertical="center"/>
    </xf>
    <xf numFmtId="0" fontId="3" fillId="0" borderId="1" xfId="5" applyNumberFormat="1" applyFont="1" applyFill="1" applyBorder="1" applyAlignment="1">
      <alignment horizontal="left"/>
    </xf>
    <xf numFmtId="167" fontId="3" fillId="0" borderId="1" xfId="5" applyNumberFormat="1" applyFont="1" applyFill="1" applyBorder="1" applyAlignment="1">
      <alignment horizontal="left"/>
    </xf>
    <xf numFmtId="0" fontId="3" fillId="2" borderId="1" xfId="5" applyNumberFormat="1" applyFont="1" applyFill="1" applyBorder="1" applyAlignment="1">
      <alignment horizontal="left"/>
    </xf>
    <xf numFmtId="167" fontId="3" fillId="2" borderId="1" xfId="1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7" fontId="9" fillId="3" borderId="1" xfId="4" quotePrefix="1" applyNumberFormat="1" applyFont="1" applyFill="1" applyBorder="1" applyAlignment="1">
      <alignment horizontal="center" vertical="center"/>
    </xf>
    <xf numFmtId="43" fontId="9" fillId="3" borderId="1" xfId="1" quotePrefix="1" applyFont="1" applyFill="1" applyBorder="1" applyAlignment="1">
      <alignment horizontal="center" vertical="center"/>
    </xf>
    <xf numFmtId="17" fontId="9" fillId="3" borderId="1" xfId="4" quotePrefix="1" applyNumberFormat="1" applyFont="1" applyFill="1" applyBorder="1" applyAlignment="1">
      <alignment horizontal="left" vertical="center"/>
    </xf>
    <xf numFmtId="43" fontId="9" fillId="3" borderId="1" xfId="1" applyFont="1" applyFill="1" applyBorder="1" applyAlignment="1">
      <alignment horizontal="center" vertical="center"/>
    </xf>
    <xf numFmtId="43" fontId="9" fillId="3" borderId="2" xfId="1" applyFont="1" applyFill="1" applyBorder="1" applyAlignment="1">
      <alignment horizontal="center" vertical="center"/>
    </xf>
    <xf numFmtId="17" fontId="3" fillId="0" borderId="1" xfId="0" quotePrefix="1" applyNumberFormat="1" applyFont="1" applyBorder="1" applyAlignment="1">
      <alignment horizontal="left"/>
    </xf>
    <xf numFmtId="17" fontId="3" fillId="0" borderId="1" xfId="0" quotePrefix="1" applyNumberFormat="1" applyFont="1" applyBorder="1"/>
    <xf numFmtId="17" fontId="3" fillId="0" borderId="1" xfId="0" quotePrefix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" fontId="3" fillId="2" borderId="1" xfId="0" quotePrefix="1" applyNumberFormat="1" applyFont="1" applyFill="1" applyBorder="1" applyAlignment="1">
      <alignment horizontal="left"/>
    </xf>
    <xf numFmtId="43" fontId="4" fillId="2" borderId="1" xfId="1" applyFont="1" applyFill="1" applyBorder="1"/>
    <xf numFmtId="167" fontId="9" fillId="3" borderId="1" xfId="1" quotePrefix="1" applyNumberFormat="1" applyFont="1" applyFill="1" applyBorder="1" applyAlignment="1">
      <alignment horizontal="center" vertical="center"/>
    </xf>
    <xf numFmtId="167" fontId="4" fillId="0" borderId="1" xfId="1" applyNumberFormat="1" applyFont="1" applyFill="1" applyBorder="1" applyAlignment="1">
      <alignment vertical="center"/>
    </xf>
    <xf numFmtId="167" fontId="0" fillId="0" borderId="0" xfId="1" applyNumberFormat="1" applyFont="1"/>
    <xf numFmtId="167" fontId="0" fillId="0" borderId="1" xfId="1" applyNumberFormat="1" applyFont="1" applyBorder="1"/>
    <xf numFmtId="0" fontId="0" fillId="0" borderId="0" xfId="0" pivotButton="1"/>
    <xf numFmtId="9" fontId="0" fillId="0" borderId="0" xfId="3" applyFont="1"/>
    <xf numFmtId="17" fontId="0" fillId="0" borderId="1" xfId="0" applyNumberFormat="1" applyBorder="1"/>
    <xf numFmtId="168" fontId="0" fillId="0" borderId="1" xfId="1" applyNumberFormat="1" applyFont="1" applyBorder="1"/>
    <xf numFmtId="17" fontId="9" fillId="3" borderId="3" xfId="4" quotePrefix="1" applyNumberFormat="1" applyFont="1" applyFill="1" applyBorder="1" applyAlignment="1">
      <alignment horizontal="center" vertical="center"/>
    </xf>
    <xf numFmtId="43" fontId="9" fillId="3" borderId="3" xfId="1" quotePrefix="1" applyFont="1" applyFill="1" applyBorder="1" applyAlignment="1">
      <alignment horizontal="center" vertical="center"/>
    </xf>
    <xf numFmtId="167" fontId="9" fillId="3" borderId="3" xfId="1" quotePrefix="1" applyNumberFormat="1" applyFont="1" applyFill="1" applyBorder="1" applyAlignment="1">
      <alignment horizontal="center" vertical="center"/>
    </xf>
    <xf numFmtId="17" fontId="9" fillId="3" borderId="3" xfId="4" quotePrefix="1" applyNumberFormat="1" applyFont="1" applyFill="1" applyBorder="1" applyAlignment="1">
      <alignment horizontal="left" vertical="center"/>
    </xf>
    <xf numFmtId="43" fontId="9" fillId="3" borderId="3" xfId="1" applyFont="1" applyFill="1" applyBorder="1" applyAlignment="1">
      <alignment horizontal="center" vertical="center"/>
    </xf>
    <xf numFmtId="167" fontId="3" fillId="0" borderId="1" xfId="5" quotePrefix="1" applyNumberFormat="1" applyFont="1" applyFill="1" applyBorder="1" applyAlignment="1">
      <alignment horizontal="center" vertical="center"/>
    </xf>
    <xf numFmtId="0" fontId="10" fillId="0" borderId="1" xfId="0" quotePrefix="1" applyFont="1" applyBorder="1" applyAlignment="1">
      <alignment vertical="center"/>
    </xf>
    <xf numFmtId="0" fontId="0" fillId="0" borderId="1" xfId="0" quotePrefix="1" applyBorder="1"/>
    <xf numFmtId="0" fontId="12" fillId="5" borderId="5" xfId="6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6" borderId="0" xfId="7" applyFont="1" applyFill="1" applyAlignment="1">
      <alignment horizontal="left" vertical="center"/>
    </xf>
    <xf numFmtId="0" fontId="13" fillId="0" borderId="0" xfId="7" applyFont="1" applyAlignment="1">
      <alignment horizontal="left" vertical="center"/>
    </xf>
    <xf numFmtId="0" fontId="13" fillId="6" borderId="6" xfId="7" applyFont="1" applyFill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3" fillId="0" borderId="0" xfId="7" applyFont="1" applyBorder="1" applyAlignment="1">
      <alignment horizontal="left" vertical="center"/>
    </xf>
    <xf numFmtId="0" fontId="13" fillId="4" borderId="0" xfId="7" applyFont="1" applyFill="1" applyBorder="1" applyAlignment="1">
      <alignment horizontal="left" vertical="center"/>
    </xf>
    <xf numFmtId="10" fontId="0" fillId="0" borderId="0" xfId="3" applyNumberFormat="1" applyFont="1"/>
    <xf numFmtId="0" fontId="0" fillId="0" borderId="0" xfId="0" quotePrefix="1"/>
    <xf numFmtId="43" fontId="0" fillId="0" borderId="1" xfId="0" applyNumberFormat="1" applyBorder="1"/>
    <xf numFmtId="10" fontId="9" fillId="3" borderId="2" xfId="3" applyNumberFormat="1" applyFont="1" applyFill="1" applyBorder="1" applyAlignment="1">
      <alignment horizontal="center" vertical="center" wrapText="1"/>
    </xf>
    <xf numFmtId="43" fontId="0" fillId="0" borderId="1" xfId="1" applyFont="1" applyFill="1" applyBorder="1"/>
    <xf numFmtId="43" fontId="0" fillId="0" borderId="0" xfId="0" applyNumberFormat="1"/>
    <xf numFmtId="43" fontId="0" fillId="0" borderId="0" xfId="3" applyNumberFormat="1" applyFont="1"/>
    <xf numFmtId="167" fontId="3" fillId="7" borderId="1" xfId="5" applyNumberFormat="1" applyFont="1" applyFill="1" applyBorder="1" applyAlignment="1">
      <alignment horizontal="center" vertical="center"/>
    </xf>
    <xf numFmtId="43" fontId="0" fillId="0" borderId="7" xfId="1" applyFont="1" applyBorder="1"/>
    <xf numFmtId="0" fontId="15" fillId="0" borderId="8" xfId="0" applyFont="1" applyBorder="1"/>
    <xf numFmtId="17" fontId="15" fillId="0" borderId="8" xfId="0" applyNumberFormat="1" applyFont="1" applyBorder="1"/>
    <xf numFmtId="4" fontId="16" fillId="0" borderId="8" xfId="0" applyNumberFormat="1" applyFont="1" applyBorder="1"/>
    <xf numFmtId="0" fontId="15" fillId="0" borderId="10" xfId="0" applyFont="1" applyBorder="1"/>
    <xf numFmtId="17" fontId="15" fillId="0" borderId="10" xfId="0" applyNumberFormat="1" applyFont="1" applyBorder="1"/>
    <xf numFmtId="4" fontId="16" fillId="0" borderId="10" xfId="0" applyNumberFormat="1" applyFont="1" applyBorder="1"/>
    <xf numFmtId="4" fontId="16" fillId="0" borderId="1" xfId="0" applyNumberFormat="1" applyFont="1" applyBorder="1"/>
    <xf numFmtId="4" fontId="16" fillId="0" borderId="9" xfId="0" applyNumberFormat="1" applyFont="1" applyBorder="1"/>
    <xf numFmtId="167" fontId="0" fillId="0" borderId="0" xfId="0" applyNumberFormat="1"/>
    <xf numFmtId="17" fontId="3" fillId="0" borderId="1" xfId="0" applyNumberFormat="1" applyFont="1" applyBorder="1" applyAlignment="1">
      <alignment horizontal="left" vertical="center"/>
    </xf>
    <xf numFmtId="3" fontId="0" fillId="0" borderId="1" xfId="0" applyNumberFormat="1" applyBorder="1"/>
    <xf numFmtId="0" fontId="0" fillId="0" borderId="12" xfId="0" applyBorder="1"/>
    <xf numFmtId="43" fontId="0" fillId="0" borderId="12" xfId="1" applyFont="1" applyBorder="1"/>
    <xf numFmtId="10" fontId="9" fillId="3" borderId="2" xfId="1" applyNumberFormat="1" applyFont="1" applyFill="1" applyBorder="1" applyAlignment="1">
      <alignment horizontal="center" vertical="center"/>
    </xf>
    <xf numFmtId="10" fontId="0" fillId="0" borderId="11" xfId="0" applyNumberFormat="1" applyBorder="1"/>
    <xf numFmtId="10" fontId="0" fillId="0" borderId="0" xfId="0" applyNumberFormat="1"/>
    <xf numFmtId="17" fontId="9" fillId="3" borderId="13" xfId="4" quotePrefix="1" applyNumberFormat="1" applyFont="1" applyFill="1" applyBorder="1" applyAlignment="1">
      <alignment horizontal="center" vertical="center"/>
    </xf>
    <xf numFmtId="17" fontId="3" fillId="0" borderId="8" xfId="0" quotePrefix="1" applyNumberFormat="1" applyFont="1" applyBorder="1" applyAlignment="1">
      <alignment horizontal="center" vertical="center"/>
    </xf>
    <xf numFmtId="165" fontId="3" fillId="0" borderId="8" xfId="0" quotePrefix="1" applyNumberFormat="1" applyFont="1" applyBorder="1" applyAlignment="1">
      <alignment horizontal="center" vertical="center"/>
    </xf>
  </cellXfs>
  <cellStyles count="8">
    <cellStyle name="Atividade" xfId="7" xr:uid="{734F3321-54A0-4EF3-8FBE-1D7680047AFF}"/>
    <cellStyle name="Moeda" xfId="2" builtinId="4"/>
    <cellStyle name="Normal" xfId="0" builtinId="0"/>
    <cellStyle name="Porcentagem" xfId="3" builtinId="5"/>
    <cellStyle name="Título 2" xfId="6" builtinId="17"/>
    <cellStyle name="Vírgula" xfId="1" builtinId="3"/>
    <cellStyle name="Vírgula 2" xfId="5" xr:uid="{FBA26698-FB01-4DEC-A904-66D998802546}"/>
    <cellStyle name="Vírgula 3" xfId="4" xr:uid="{87CF9B98-0255-41D0-9054-0B2579B09735}"/>
  </cellStyles>
  <dxfs count="64">
    <dxf>
      <numFmt numFmtId="14" formatCode="0.0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296C"/>
        <name val="Aptos Narrow"/>
        <family val="2"/>
        <scheme val="minor"/>
      </font>
      <numFmt numFmtId="167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296C"/>
        <name val="Aptos Narrow"/>
        <family val="2"/>
        <scheme val="minor"/>
      </font>
      <numFmt numFmtId="167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296C"/>
        <name val="Aptos Narrow"/>
        <family val="2"/>
        <scheme val="minor"/>
      </font>
      <numFmt numFmtId="167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296C"/>
        <name val="Aptos Narrow"/>
        <family val="2"/>
        <scheme val="minor"/>
      </font>
      <numFmt numFmtId="167" formatCode="_-* #,##0_-;\-* #,##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296C"/>
        <name val="Aptos Narrow"/>
        <family val="2"/>
        <scheme val="minor"/>
      </font>
      <numFmt numFmtId="167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Aptos Narrow"/>
        <family val="2"/>
        <scheme val="minor"/>
      </font>
      <numFmt numFmtId="167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296C"/>
        <name val="Aptos Narrow"/>
        <family val="2"/>
        <scheme val="minor"/>
      </font>
      <numFmt numFmtId="165" formatCode="mm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296C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296C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296C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296C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296C"/>
        <name val="Aptos Narrow"/>
        <family val="2"/>
        <scheme val="minor"/>
      </font>
      <numFmt numFmtId="22" formatCode="mmm/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296C"/>
        <name val="Aptos Narrow"/>
        <family val="2"/>
        <scheme val="minor"/>
      </font>
      <numFmt numFmtId="22" formatCode="mmm/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 tint="-0.34998626667073579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3399"/>
        </patternFill>
      </fill>
    </dxf>
    <dxf>
      <fill>
        <patternFill>
          <bgColor rgb="FFFF99CC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3399"/>
        </patternFill>
      </fill>
    </dxf>
    <dxf>
      <fill>
        <patternFill>
          <bgColor rgb="FFFF99CC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2.678248842596" createdVersion="8" refreshedVersion="8" minRefreshableVersion="3" recordCount="335" xr:uid="{A65F5F83-93EE-4B58-8694-2EE815FFDF22}">
  <cacheSource type="worksheet">
    <worksheetSource ref="A1:Z336" sheet="Liberações"/>
  </cacheSource>
  <cacheFields count="26">
    <cacheField name="Mês Caixa" numFmtId="17">
      <sharedItems containsSemiMixedTypes="0" containsNonDate="0" containsDate="1" containsString="0" minDate="2006-02-03T00:00:00" maxDate="2026-02-02T00:00:00"/>
    </cacheField>
    <cacheField name="Distribuidoras" numFmtId="0">
      <sharedItems/>
    </cacheField>
    <cacheField name="Sigla" numFmtId="0">
      <sharedItems/>
    </cacheField>
    <cacheField name="Razão Social" numFmtId="0">
      <sharedItems/>
    </cacheField>
    <cacheField name="CNPJ" numFmtId="0">
      <sharedItems/>
    </cacheField>
    <cacheField name="Rubrica" numFmtId="0">
      <sharedItems/>
    </cacheField>
    <cacheField name="Competência" numFmtId="0">
      <sharedItems containsSemiMixedTypes="0" containsNonDate="0" containsDate="1" containsString="0" minDate="2006-02-01T00:00:00" maxDate="2026-03-02T00:00:00"/>
    </cacheField>
    <cacheField name="Valor para Pagamento " numFmtId="0">
      <sharedItems containsSemiMixedTypes="0" containsString="0" containsNumber="1" minValue="0" maxValue="615954798"/>
    </cacheField>
    <cacheField name="Valor Pago" numFmtId="0">
      <sharedItems containsSemiMixedTypes="0" containsString="0" containsNumber="1" minValue="0" maxValue="615954798"/>
    </cacheField>
    <cacheField name="Valor Pago  Mil " numFmtId="167">
      <sharedItems containsSemiMixedTypes="0" containsString="0" containsNumber="1" minValue="0" maxValue="615954.79799999995"/>
    </cacheField>
    <cacheField name="Data do Pagamento" numFmtId="0">
      <sharedItems containsDate="1" containsMixedTypes="1" minDate="2009-08-25T00:00:00" maxDate="2026-03-21T00:00:00"/>
    </cacheField>
    <cacheField name="Status" numFmtId="0">
      <sharedItems/>
    </cacheField>
    <cacheField name="Numero do Contrato " numFmtId="0">
      <sharedItems/>
    </cacheField>
    <cacheField name="Tranche" numFmtId="167">
      <sharedItems/>
    </cacheField>
    <cacheField name="Parcela" numFmtId="0">
      <sharedItems containsMixedTypes="1" containsNumber="1" containsInteger="1" minValue="0" maxValue="0"/>
    </cacheField>
    <cacheField name="UF" numFmtId="0">
      <sharedItems/>
    </cacheField>
    <cacheField name="Classificação " numFmtId="0">
      <sharedItems/>
    </cacheField>
    <cacheField name="Valor Contrato" numFmtId="43">
      <sharedItems containsSemiMixedTypes="0" containsString="0" containsNumber="1" containsInteger="1" minValue="0" maxValue="1562065530"/>
    </cacheField>
    <cacheField name="Valor Contrato Mil" numFmtId="0">
      <sharedItems containsSemiMixedTypes="0" containsString="0" containsNumber="1" minValue="0" maxValue="1562065.53"/>
    </cacheField>
    <cacheField name="Valor CDE" numFmtId="43">
      <sharedItems containsSemiMixedTypes="0" containsString="0" containsNumber="1" containsInteger="1" minValue="0" maxValue="1405858980"/>
    </cacheField>
    <cacheField name="Valor CDE Mil" numFmtId="0">
      <sharedItems containsSemiMixedTypes="0" containsString="0" containsNumber="1" minValue="0" maxValue="1405858.98"/>
    </cacheField>
    <cacheField name="Participação CDE %" numFmtId="0">
      <sharedItems containsSemiMixedTypes="0" containsString="0" containsNumber="1" minValue="0" maxValue="0.95199910077035632"/>
    </cacheField>
    <cacheField name="Tipo do Contrato " numFmtId="0">
      <sharedItems/>
    </cacheField>
    <cacheField name="Valor Devolvido com Selic" numFmtId="0">
      <sharedItems containsSemiMixedTypes="0" containsString="0" containsNumber="1" minValue="-92242241.879999995" maxValue="0"/>
    </cacheField>
    <cacheField name="Devoluçã Mil Selic " numFmtId="0">
      <sharedItems containsSemiMixedTypes="0" containsString="0" containsNumber="1" minValue="-92242.241880000001" maxValue="0"/>
    </cacheField>
    <cacheField name="% Devoluação Selic " numFmtId="0">
      <sharedItems containsSemiMixedTypes="0" containsString="0" containsNumber="1" minValue="-1" maxValue="1E-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2.678919560189" createdVersion="8" refreshedVersion="8" minRefreshableVersion="3" recordCount="338" xr:uid="{21A5583D-E332-453F-82E0-5C806999868C}">
  <cacheSource type="worksheet">
    <worksheetSource ref="A1:AQ339" sheet="Liberações"/>
  </cacheSource>
  <cacheFields count="43">
    <cacheField name="Mês Caixa" numFmtId="0">
      <sharedItems containsSemiMixedTypes="0" containsNonDate="0" containsDate="1" containsString="0" minDate="2006-02-03T00:00:00" maxDate="2026-04-02T00:00:00"/>
    </cacheField>
    <cacheField name="Distribuidoras" numFmtId="0">
      <sharedItems/>
    </cacheField>
    <cacheField name="Sigla" numFmtId="0">
      <sharedItems/>
    </cacheField>
    <cacheField name="Razão Social" numFmtId="0">
      <sharedItems/>
    </cacheField>
    <cacheField name="CNPJ" numFmtId="0">
      <sharedItems/>
    </cacheField>
    <cacheField name="Rubrica" numFmtId="0">
      <sharedItems/>
    </cacheField>
    <cacheField name="Competência" numFmtId="0">
      <sharedItems containsSemiMixedTypes="0" containsNonDate="0" containsDate="1" containsString="0" minDate="2006-02-01T00:00:00" maxDate="2026-04-02T00:00:00"/>
    </cacheField>
    <cacheField name="Valor para Pagamento " numFmtId="0">
      <sharedItems containsSemiMixedTypes="0" containsString="0" containsNumber="1" minValue="0" maxValue="615954798"/>
    </cacheField>
    <cacheField name="Valor Pago" numFmtId="0">
      <sharedItems containsSemiMixedTypes="0" containsString="0" containsNumber="1" minValue="0" maxValue="615954798"/>
    </cacheField>
    <cacheField name="Valor Pago  Mil " numFmtId="167">
      <sharedItems containsSemiMixedTypes="0" containsString="0" containsNumber="1" minValue="0" maxValue="615954.79799999995"/>
    </cacheField>
    <cacheField name="Data do Pagamento" numFmtId="0">
      <sharedItems containsDate="1" containsMixedTypes="1" minDate="2009-08-25T00:00:00" maxDate="2026-05-09T00:00:00"/>
    </cacheField>
    <cacheField name="Status" numFmtId="0">
      <sharedItems/>
    </cacheField>
    <cacheField name="Numero do Contrato " numFmtId="0">
      <sharedItems count="112">
        <s v="ECFS 101/2005"/>
        <s v="ECFS 108/2005"/>
        <s v="ECFS 130/2006"/>
        <s v="ECFS 135/2006"/>
        <s v="ECFS 202/2007"/>
        <s v="ECFS 261/2009"/>
        <s v="ECFS 278/2009"/>
        <s v="ECFS 280/2009"/>
        <s v="ECFS 283/2010"/>
        <s v="ECFS 284/2010"/>
        <s v="ECFS 302/2010"/>
        <s v="ECFS 306/2010"/>
        <s v="ECFS 307/2010"/>
        <s v="ECFS 310/2010"/>
        <s v="ECFS 326/2012"/>
        <s v="ECFS 327/2013"/>
        <s v="ECFS 328/2013"/>
        <s v="ECFS 329/2013"/>
        <s v="ECFS 330/2013"/>
        <s v="ECFS 331/2013"/>
        <s v="ECFS 333/2013"/>
        <s v="ECFS 335/2013"/>
        <s v="ECFS 338/2013"/>
        <s v="ECFS 339/2013"/>
        <s v="ECFS 340/2013"/>
        <s v="ECFS 341/2013"/>
        <s v="ECFS 343/2013"/>
        <s v="ECFS-332/2013"/>
        <s v="ECM 001/2020"/>
        <s v="ECM 002/2021"/>
        <s v="ECM 003/2021"/>
        <s v="ECM 004/2021"/>
        <s v="ECM 005/2021"/>
        <s v="ECM 006/2021"/>
        <s v="ECM 007/2021"/>
        <s v="ECM 008/2022"/>
        <s v="ECM 009/2022"/>
        <s v="ECM 010/2022"/>
        <s v="ECM 011/2022"/>
        <s v="ECM 012/2023"/>
        <s v="ECM 013/2023"/>
        <s v="ECM 014/2024"/>
        <s v="ECM 015/2024"/>
        <s v="ECM 016/2025"/>
        <s v="ECM 017/2025"/>
        <s v="ECM 018/2025"/>
        <s v="ECM 019/2025"/>
        <s v="ECM 020/2025"/>
        <s v="ECM 021/2025"/>
        <s v="ECM 022/2025"/>
        <s v="ECM 023/2025"/>
        <s v="ECM 024/2025"/>
        <s v="ECM 026/2025"/>
        <s v="ECM 027/2025"/>
        <s v="ECO 001/2018"/>
        <s v="ECO 002/2017"/>
        <s v="ECO 004/2017"/>
        <s v="ECO 005/2017"/>
        <s v="ECO 006/2017"/>
        <s v="ECO 007/2017"/>
        <s v="ECO 008/2017"/>
        <s v="ECO 009/2017"/>
        <s v="ECO 010/2018"/>
        <s v="ECO 011/2018"/>
        <s v="ECO 012/2018"/>
        <s v="ECO 013/2018"/>
        <s v="ECO 015/2019"/>
        <s v="ECO 016/2019"/>
        <s v="ECO 017/2019"/>
        <s v="ECO 018/2019"/>
        <s v="ECO 019/2020"/>
        <s v="ECO 020/2020"/>
        <s v="ECO 021/2020"/>
        <s v="ECO 022/2021"/>
        <s v="ECO 023/2021"/>
        <s v="ECO 024/2021"/>
        <s v="ECO 025/2021"/>
        <s v="ECO 026/2021"/>
        <s v="ECO 027/2021"/>
        <s v="ECO 028/2024"/>
        <s v="ECO 029/2024"/>
        <s v="ECO 030/2024"/>
        <s v="ECO 031/2025"/>
        <s v="ECO 032/2025"/>
        <s v="ECO 033/2025"/>
        <s v="ECO 035/2025"/>
        <s v="ECO 036/2025"/>
        <s v="ECO 037/2025"/>
        <s v="ECO 038/2025"/>
        <s v="ECO 039/2025"/>
        <s v="ECO 040/2025"/>
        <s v="ECO 041/2025"/>
        <s v="ECO 042/2025"/>
        <s v="ECO 043/2025"/>
        <s v="ECOT 001/2018"/>
        <s v="ECOT 002/2017"/>
        <s v="ECOT 003/2017"/>
        <s v="ECOT 004/2017"/>
        <s v="ECOT 005/2017"/>
        <s v="ECOT 006/2017"/>
        <s v="ECOT 007/2017"/>
        <s v="ECOT 008/2017"/>
        <s v="ECOT 009/2017"/>
        <s v="ECOT 010/2017"/>
        <s v="ECOT 011/2017"/>
        <s v="ECOT 012/2017"/>
        <s v="ECOT 013/2017"/>
        <s v="ECOT 014/2017"/>
        <s v="ECOT 015/2017"/>
        <s v="ECOT 016/2017"/>
        <s v="ECO 034/2026"/>
        <s v="ECM 025/2026"/>
      </sharedItems>
    </cacheField>
    <cacheField name="Tranche" numFmtId="167">
      <sharedItems/>
    </cacheField>
    <cacheField name="Parcela" numFmtId="0">
      <sharedItems containsMixedTypes="1" containsNumber="1" containsInteger="1" minValue="0" maxValue="0"/>
    </cacheField>
    <cacheField name="UF" numFmtId="0">
      <sharedItems/>
    </cacheField>
    <cacheField name="Classificação " numFmtId="0">
      <sharedItems/>
    </cacheField>
    <cacheField name="Valor Contrato" numFmtId="43">
      <sharedItems containsSemiMixedTypes="0" containsString="0" containsNumber="1" containsInteger="1" minValue="0" maxValue="1562065530"/>
    </cacheField>
    <cacheField name="Valor Contrato Mil" numFmtId="0">
      <sharedItems containsSemiMixedTypes="0" containsString="0" containsNumber="1" minValue="0" maxValue="1562065.53"/>
    </cacheField>
    <cacheField name="Valor CDE" numFmtId="43">
      <sharedItems containsSemiMixedTypes="0" containsString="0" containsNumber="1" containsInteger="1" minValue="0" maxValue="1405858980"/>
    </cacheField>
    <cacheField name="Valor CDE Mil" numFmtId="0">
      <sharedItems containsSemiMixedTypes="0" containsString="0" containsNumber="1" minValue="0" maxValue="1405858.98"/>
    </cacheField>
    <cacheField name="Participação CDE %" numFmtId="0">
      <sharedItems containsSemiMixedTypes="0" containsString="0" containsNumber="1" minValue="0" maxValue="0.95199910077035632"/>
    </cacheField>
    <cacheField name="Tipo do Contrato " numFmtId="0">
      <sharedItems/>
    </cacheField>
    <cacheField name="Valor Devolvido com Selic" numFmtId="0">
      <sharedItems containsSemiMixedTypes="0" containsString="0" containsNumber="1" minValue="-92242241.879999995" maxValue="0"/>
    </cacheField>
    <cacheField name="Devoluçã Mil Selic " numFmtId="0">
      <sharedItems containsSemiMixedTypes="0" containsString="0" containsNumber="1" minValue="-92242.241880000001" maxValue="0"/>
    </cacheField>
    <cacheField name="% Devoluação Selic " numFmtId="0">
      <sharedItems containsSemiMixedTypes="0" containsString="0" containsNumber="1" minValue="-1" maxValue="1E-4"/>
    </cacheField>
    <cacheField name="Status2" numFmtId="0">
      <sharedItems/>
    </cacheField>
    <cacheField name="Tranche II" numFmtId="0">
      <sharedItems/>
    </cacheField>
    <cacheField name="Abertura Distribuidora" numFmtId="0">
      <sharedItems/>
    </cacheField>
    <cacheField name="Responsavel do Contrato " numFmtId="0">
      <sharedItems/>
    </cacheField>
    <cacheField name="Glosa Total com a Parcela Faltante" numFmtId="10">
      <sharedItems containsSemiMixedTypes="0" containsString="0" containsNumber="1" minValue="-1" maxValue="1E-4"/>
    </cacheField>
    <cacheField name="Valor Principal" numFmtId="43">
      <sharedItems containsSemiMixedTypes="0" containsString="0" containsNumber="1" minValue="-92242241.879999995" maxValue="0"/>
    </cacheField>
    <cacheField name="Valor Principal MIL " numFmtId="43">
      <sharedItems containsSemiMixedTypes="0" containsString="0" containsNumber="1" minValue="-92242.241880000001" maxValue="0"/>
    </cacheField>
    <cacheField name="Parcela Final " numFmtId="43">
      <sharedItems containsSemiMixedTypes="0" containsString="0" containsNumber="1" minValue="-132552593.79999998" maxValue="3408288.44"/>
    </cacheField>
    <cacheField name="Glosa em Mil " numFmtId="43">
      <sharedItems containsSemiMixedTypes="0" containsString="0" containsNumber="1" minValue="-132552.59379999997" maxValue="3408.2884399999998"/>
    </cacheField>
    <cacheField name="Custo Direto " numFmtId="43">
      <sharedItems containsSemiMixedTypes="0" containsString="0" containsNumber="1" containsInteger="1" minValue="0" maxValue="1406170340"/>
    </cacheField>
    <cacheField name="Custo Direto  Mil " numFmtId="43">
      <sharedItems containsSemiMixedTypes="0" containsString="0" containsNumber="1" minValue="0" maxValue="1406170.34"/>
    </cacheField>
    <cacheField name="Custo Direto %" numFmtId="43">
      <sharedItems containsSemiMixedTypes="0" containsString="0" containsNumber="1" minValue="0" maxValue="1"/>
    </cacheField>
    <cacheField name="Custo Indireto " numFmtId="0">
      <sharedItems containsSemiMixedTypes="0" containsString="0" containsNumber="1" minValue="0" maxValue="155895190"/>
    </cacheField>
    <cacheField name="Custo Indireto  Mil " numFmtId="0">
      <sharedItems containsSemiMixedTypes="0" containsString="0" containsNumber="1" minValue="0" maxValue="155895.19"/>
    </cacheField>
    <cacheField name="Custo Indireto  %" numFmtId="43">
      <sharedItems containsSemiMixedTypes="0" containsString="0" containsNumber="1" minValue="0" maxValue="0.91"/>
    </cacheField>
    <cacheField name="Observação" numFmtId="0">
      <sharedItems/>
    </cacheField>
    <cacheField name="Avanço Fisico " numFmtId="10">
      <sharedItems containsSemiMixedTypes="0" containsString="0" containsNumber="1" minValue="0" maxValue="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">
  <r>
    <d v="2020-07-01T00:00:00"/>
    <s v="CPFL"/>
    <s v="CPFL"/>
    <s v="COMPANHIA JAGUARI DE ENERGIA"/>
    <s v="53.859.112/0001-69"/>
    <s v="Programa Luz para Todos"/>
    <d v="2020-07-01T00:00:00"/>
    <n v="1398961.8399999999"/>
    <n v="1398961.8399999999"/>
    <n v="1398.9618399999999"/>
    <s v="Sistema Antigo"/>
    <s v="Pago"/>
    <s v="ECFS 101/2005"/>
    <s v="2ª Tranche"/>
    <s v="parcela final"/>
    <s v="SP"/>
    <s v="Liberações"/>
    <n v="2143980"/>
    <n v="2143.98"/>
    <n v="1715180"/>
    <n v="1715.18"/>
    <n v="0.79999813431095435"/>
    <s v="LPT"/>
    <n v="0"/>
    <n v="0"/>
    <n v="0"/>
  </r>
  <r>
    <d v="2020-07-01T00:00:00"/>
    <s v="CPFL"/>
    <s v="CPFL Jaguari"/>
    <s v="COMPANHIA JAGUARI DE ENERGIA"/>
    <s v="00.001.180/0002-07"/>
    <s v="Programa Luz para Todos"/>
    <d v="2020-07-01T00:00:00"/>
    <n v="3199935.75"/>
    <n v="3199935.75"/>
    <n v="3199.9357500000001"/>
    <s v="Sistema Antigo"/>
    <s v="Pago"/>
    <s v="ECFS 108/2005"/>
    <s v="2ª Tranche"/>
    <s v="parcela final"/>
    <s v="SP"/>
    <s v="Liberações"/>
    <n v="4658080"/>
    <n v="4658.08"/>
    <n v="3959370"/>
    <n v="3959.37"/>
    <n v="0.85000042936145359"/>
    <s v="LPT"/>
    <n v="0"/>
    <n v="0"/>
    <n v="0"/>
  </r>
  <r>
    <d v="2006-02-03T00:00:00"/>
    <s v="EQUATORIAL"/>
    <s v="EQUATORIAL AMAPÁ"/>
    <s v="CENTRAIS ELÉTRICAS DO NORTE DO BRASIL S.A."/>
    <s v="00.357.038/0001-16"/>
    <s v="Programa Luz para Todos"/>
    <d v="2006-02-03T00:00:00"/>
    <n v="10003157"/>
    <n v="10003157"/>
    <n v="10003.156999999999"/>
    <s v="Sistema Antigo"/>
    <s v="Pago"/>
    <s v="ECFS 130/2006"/>
    <s v="1ª Tranche"/>
    <n v="0"/>
    <s v="AP"/>
    <s v="Liberações"/>
    <n v="13076020"/>
    <n v="13076.02"/>
    <n v="11768420"/>
    <n v="11768.42"/>
    <n v="0.90000015295173919"/>
    <s v="LPT"/>
    <n v="-234668.35"/>
    <n v="-234.66835"/>
    <n v="-1.9940514529563018E-2"/>
  </r>
  <r>
    <d v="2006-02-14T00:00:00"/>
    <s v="EQUATORIAL"/>
    <s v="EQUATORIAL RIO GRANDE DO SUL "/>
    <s v="CENTRAIS ELÉTRICAS BRASILEIRAS"/>
    <s v="00.001.180/0002-07"/>
    <s v="Programa Luz para Todos"/>
    <d v="2006-02-01T00:00:00"/>
    <n v="315238"/>
    <n v="315238"/>
    <n v="315.238"/>
    <s v="Sistema Antigo"/>
    <s v="Pago"/>
    <s v="ECFS 135/2006"/>
    <s v="1ª Tranche"/>
    <s v="Acordo ELTB"/>
    <s v="RS"/>
    <s v="Liberações"/>
    <n v="3708680"/>
    <n v="3708.68"/>
    <n v="3152380"/>
    <n v="3152.38"/>
    <n v="0.85000053927542951"/>
    <s v="LPT"/>
    <n v="-1222411.9300000002"/>
    <n v="-1222.4119300000002"/>
    <n v="-0.38777429434268718"/>
  </r>
  <r>
    <d v="2019-09-01T00:00:00"/>
    <s v="ENERGISA"/>
    <s v="ENERGISA AC"/>
    <s v="ENERGISA ACRE - DISTRIBUIDORA DE ENERGIA S.A"/>
    <s v="04.065.033/0001-70"/>
    <s v="Programa Luz para Todos"/>
    <d v="2019-09-01T00:00:00"/>
    <n v="81461757.969999999"/>
    <n v="81461757.969999999"/>
    <n v="81461.757970000006"/>
    <s v="Sistema Antigo"/>
    <s v="Pago"/>
    <s v="ECFS 202/2007"/>
    <s v="3ª Tranche"/>
    <s v="parcela final"/>
    <s v="AC"/>
    <s v="Liberações"/>
    <n v="98298280"/>
    <n v="98298.28"/>
    <n v="88468460"/>
    <n v="88468.46"/>
    <n v="0.90000008138494392"/>
    <s v="LPT"/>
    <n v="0"/>
    <n v="0"/>
    <n v="0"/>
  </r>
  <r>
    <d v="2009-08-25T00:00:00"/>
    <s v="EQUATORIAL"/>
    <s v="EQUATORIAL AMAPÁ"/>
    <s v="CENTRAIS ELÉTRICAS DO NORTE DO BRASIL S.A."/>
    <s v="00.357.038/0001-16"/>
    <s v="Programa Luz para Todos"/>
    <d v="2009-08-25T00:00:00"/>
    <n v="66043550"/>
    <n v="66043550"/>
    <n v="66043.55"/>
    <d v="2009-08-25T00:00:00"/>
    <s v="Pago"/>
    <s v="ECFS 261/2009"/>
    <s v="2ª Tranche"/>
    <n v="0"/>
    <s v="AP"/>
    <s v="Liberações"/>
    <n v="146763050"/>
    <n v="146763.04999999999"/>
    <n v="132086740"/>
    <n v="132086.74"/>
    <n v="0.89999996593147935"/>
    <s v="LPT"/>
    <n v="-39420193"/>
    <n v="-39420.192999999999"/>
    <n v="-0.29844171337713382"/>
  </r>
  <r>
    <d v="2010-01-08T00:00:00"/>
    <s v="ENERGISA"/>
    <s v="ENERGISA RO"/>
    <s v="ENERGISA RONDONIA - DISTRIBUIDORA DE ENERGIA S.A"/>
    <s v="05.914.650/0001-66"/>
    <s v="Programa Luz para Todos"/>
    <d v="2010-01-08T00:00:00"/>
    <n v="92815668"/>
    <n v="92815668"/>
    <n v="92815.668000000005"/>
    <d v="2010-01-08T00:00:00"/>
    <s v="Pago"/>
    <s v="ECFS 278/2009"/>
    <s v="4ª Tranche"/>
    <n v="0"/>
    <s v="RO"/>
    <s v="Liberações"/>
    <n v="121327570"/>
    <n v="121327.57"/>
    <n v="103128440"/>
    <n v="103128.44"/>
    <n v="0.85000004533182361"/>
    <s v="LPT"/>
    <n v="-4355398.1900000004"/>
    <n v="-4355.3981900000008"/>
    <n v="-4.2232755484326152E-2"/>
  </r>
  <r>
    <d v="2010-01-25T00:00:00"/>
    <s v="ENERGISA"/>
    <s v="ENERGISA AC"/>
    <s v="ENERGISA ACRE - DISTRIBUIDORA DE ENERGIA S.A"/>
    <s v="04.065.033/0001-70"/>
    <s v="Programa Luz para Todos"/>
    <d v="2010-01-25T00:00:00"/>
    <n v="33126822"/>
    <n v="33126822"/>
    <n v="33126.822"/>
    <s v="Sistema Antigo"/>
    <s v="Pago"/>
    <s v="ECFS 280/2009"/>
    <s v="4ª Tranche"/>
    <n v="0"/>
    <s v="AC"/>
    <s v="Liberações"/>
    <n v="40897300"/>
    <n v="40897.300000000003"/>
    <n v="36807580"/>
    <n v="36807.58"/>
    <n v="0.90000024451491911"/>
    <s v="LPT"/>
    <n v="-4999746.72"/>
    <n v="-4999.7467200000001"/>
    <n v="-0.13583470361267977"/>
  </r>
  <r>
    <d v="2010-01-01T00:00:00"/>
    <s v="EQUATORIAL"/>
    <s v="EQUATORIAL PARÁ"/>
    <s v="EQUATORIAL PARA DISTRIBUIDORA DE ENERGIA S.A."/>
    <s v="04.895.728/0001-80"/>
    <s v="Programa Luz para Todos"/>
    <d v="2010-03-01T00:00:00"/>
    <n v="328448493"/>
    <n v="328448493"/>
    <n v="328448.49300000002"/>
    <d v="2010-03-09T00:00:00"/>
    <s v="Pago"/>
    <s v="ECFS 283/2010"/>
    <s v="4ª Tranche"/>
    <n v="0"/>
    <s v="PA"/>
    <s v="Liberações"/>
    <n v="429344380"/>
    <n v="429344.38"/>
    <n v="364942720"/>
    <n v="364942.72"/>
    <n v="0.8499999930126021"/>
    <s v="LPT"/>
    <n v="0"/>
    <n v="0"/>
    <n v="0"/>
  </r>
  <r>
    <d v="2019-10-01T00:00:00"/>
    <s v="ENERGISA"/>
    <s v="ENERGISA TO"/>
    <s v="ENERGISA TOCANTINS DISTRIBUIDORA DE ENERGIA S.A."/>
    <s v="00.001.180/0002-07"/>
    <s v="Programa Luz para Todos"/>
    <d v="2019-10-01T00:00:00"/>
    <n v="245899516.78999999"/>
    <n v="245899516.78999999"/>
    <n v="245899.51678999999"/>
    <s v="Sistema Antigo"/>
    <s v="Pago"/>
    <s v="ECFS 284/2010"/>
    <s v="4ª Tranche"/>
    <s v="parcela final"/>
    <s v="TO"/>
    <s v="Liberações"/>
    <n v="315625180"/>
    <n v="315625.18"/>
    <n v="268281400"/>
    <n v="268281.40000000002"/>
    <n v="0.84999999049505492"/>
    <s v="LPT"/>
    <n v="0"/>
    <n v="0"/>
    <n v="0"/>
  </r>
  <r>
    <d v="2018-06-01T00:00:00"/>
    <s v="EQUATORIAL"/>
    <s v="EQUATORIAL RIO GRANDE DO SUL "/>
    <s v="COMPANHIA ESTADUAL DE DISTRIBUIÇÃO DE ENERGIA ELÉTRICA"/>
    <s v="08.467.115/0001-00"/>
    <s v="Programa Luz para Todos"/>
    <d v="2018-06-01T00:00:00"/>
    <n v="8376976.2800000003"/>
    <n v="8376976.2800000003"/>
    <n v="8376.9762800000008"/>
    <s v="Sistema Antigo"/>
    <s v="Pago"/>
    <s v="ECFS 302/2010"/>
    <s v="5ª Tranche"/>
    <s v="parcela final"/>
    <s v="RS"/>
    <s v="Liberações"/>
    <n v="19624900"/>
    <n v="19624.900000000001"/>
    <n v="16681170"/>
    <n v="16681.169999999998"/>
    <n v="0.85000025477836827"/>
    <s v="LPT"/>
    <n v="0"/>
    <n v="0"/>
    <n v="0"/>
  </r>
  <r>
    <d v="2010-08-01T00:00:00"/>
    <s v="CERCI"/>
    <s v="CERCI"/>
    <s v="COOPERATIVA DE ELETRIFICAÇÃO RURAL CACHOEIRAS – ITABORAÍ LTDA"/>
    <s v="27.707.397/0001-02"/>
    <s v="Programa Luz para Todos"/>
    <d v="2010-08-01T00:00:00"/>
    <n v="823357"/>
    <n v="823357"/>
    <n v="823.35699999999997"/>
    <s v="Sistema Antigo"/>
    <s v="Pago"/>
    <s v="ECFS 306/2010"/>
    <s v="2ª Tranche"/>
    <n v="0"/>
    <s v="RJ"/>
    <s v="Liberações"/>
    <n v="1784360"/>
    <n v="1784.36"/>
    <n v="1516710"/>
    <n v="1516.71"/>
    <n v="0.85000224170010541"/>
    <s v="LPT"/>
    <n v="-79816.069999999992"/>
    <n v="-79.816069999999996"/>
    <n v="-5.2624476663304123E-2"/>
  </r>
  <r>
    <d v="2018-05-01T00:00:00"/>
    <s v="NEOENERGIA "/>
    <s v="NEOENERGIA"/>
    <s v="CENTRAIS ELETRICAS BRASILEIRAS SA ELETROBRAS"/>
    <s v="00.001.180/0002-07"/>
    <s v="Programa Luz para Todos"/>
    <d v="2018-05-01T00:00:00"/>
    <n v="616.46"/>
    <n v="616.46"/>
    <n v="0.61646000000000001"/>
    <s v="Sistema Antigo"/>
    <s v="Pago"/>
    <s v="ECFS 307/2010"/>
    <s v="6ª Tranche"/>
    <s v="parcela final"/>
    <s v="SP"/>
    <s v="Liberações"/>
    <n v="21392010"/>
    <n v="21392.01"/>
    <n v="18183210"/>
    <n v="18183.21"/>
    <n v="0.85000007011963807"/>
    <s v="LPT"/>
    <n v="0"/>
    <n v="0"/>
    <n v="0"/>
  </r>
  <r>
    <d v="2018-05-01T00:00:00"/>
    <s v="NEOENERGIA "/>
    <s v="NEOENERGIA"/>
    <s v="ELEKTRO ELETRICIDADE E SERVIÇOS S.A."/>
    <s v="02.328.280/0001-97"/>
    <s v="Programa Luz para Todos"/>
    <d v="2018-05-01T00:00:00"/>
    <n v="61029.45"/>
    <n v="61029.45"/>
    <n v="61.029449999999997"/>
    <s v="Sistema Antigo"/>
    <s v="Pago"/>
    <s v="ECFS 307/2010"/>
    <s v="6ª Tranche"/>
    <s v="parcela final"/>
    <s v="SP"/>
    <s v="Liberações"/>
    <n v="0"/>
    <n v="0"/>
    <n v="0"/>
    <n v="0"/>
    <n v="0"/>
    <s v="LPT"/>
    <n v="0"/>
    <n v="0"/>
    <n v="0"/>
  </r>
  <r>
    <d v="2010-12-01T00:00:00"/>
    <s v="ENEL"/>
    <s v="COELCE "/>
    <s v="COMPANHIA ENERGETICA DO CEARA"/>
    <s v="07.047.251/0001-70"/>
    <s v="Programa Luz para Todos"/>
    <d v="2010-12-01T00:00:00"/>
    <n v="80819578"/>
    <n v="80819578"/>
    <n v="80819.577999999994"/>
    <d v="2010-12-12T00:00:00"/>
    <s v="Pago"/>
    <s v="ECFS 310/2010"/>
    <s v="7ª Tranche"/>
    <n v="0"/>
    <s v="CE"/>
    <s v="Liberações"/>
    <n v="134627920"/>
    <n v="134627.92000000001"/>
    <n v="114433740"/>
    <n v="114433.74"/>
    <n v="0.85000005942303791"/>
    <s v="LPT"/>
    <n v="-23451347.099999998"/>
    <n v="-23451.347099999999"/>
    <n v="-0.20493385167696168"/>
  </r>
  <r>
    <d v="2012-06-04T00:00:00"/>
    <s v="EQUATORIAL"/>
    <s v="EQUATORIAL ALAGOAS"/>
    <s v="EQUATORIAL ALAGOAS DISTRIBUIDORA DE ENERGIA S.A."/>
    <s v="12.272.084/0001-00"/>
    <s v="Programa Luz para Todos"/>
    <d v="2012-06-01T00:00:00"/>
    <n v="19969578"/>
    <n v="19969578"/>
    <n v="19969.578000000001"/>
    <s v="Sistema Antigo"/>
    <s v="Pago"/>
    <s v="ECFS 326/2012"/>
    <s v="8ª Tranche"/>
    <n v="0"/>
    <s v="AL"/>
    <s v="Liberações"/>
    <n v="25719470"/>
    <n v="25719.47"/>
    <n v="21861550"/>
    <n v="21861.55"/>
    <n v="0.85000001944052506"/>
    <s v="LPT"/>
    <n v="-1941373.8399999999"/>
    <n v="-1941.3738399999997"/>
    <n v="-8.8803119632413982E-2"/>
  </r>
  <r>
    <d v="2022-02-01T00:00:00"/>
    <s v="EQUATORIAL"/>
    <s v="EQUATORIAL PARÁ"/>
    <s v="EQUATORIAL PARA DISTRIBUIDORA DE ENERGIA S.A."/>
    <s v="04.895.728/0001-80"/>
    <s v="Programa Luz para Todos"/>
    <d v="2022-02-01T00:00:00"/>
    <n v="194027135.03"/>
    <n v="194027135.03"/>
    <n v="194027.13503"/>
    <d v="2022-02-21T00:00:00"/>
    <s v="Compensado"/>
    <s v="ECFS 327/2013"/>
    <s v="1ª Tranche"/>
    <s v="parcela final"/>
    <s v="PA"/>
    <s v="Liberações"/>
    <n v="268823340"/>
    <n v="268823.34000000003"/>
    <n v="201617510"/>
    <n v="201617.51"/>
    <n v="0.75000001859957544"/>
    <s v="LPT"/>
    <n v="0"/>
    <n v="0"/>
    <n v="0"/>
  </r>
  <r>
    <d v="2013-09-01T00:00:00"/>
    <s v="ENEL"/>
    <s v="AMPLA"/>
    <s v="AMPLA ENERGIA E SERVIÇOS S.A."/>
    <s v="33.050.071/0001-58"/>
    <s v="Programa Luz para Todos"/>
    <d v="2013-09-01T00:00:00"/>
    <n v="5285112"/>
    <n v="5285112"/>
    <n v="5285.1120000000001"/>
    <s v="Sistema Antigo"/>
    <s v="Pago"/>
    <s v="ECFS 328/2013"/>
    <s v="4ª Tranche"/>
    <n v="0"/>
    <s v="RJ"/>
    <s v="Liberações"/>
    <n v="25167200"/>
    <n v="25167.200000000001"/>
    <n v="7550160"/>
    <n v="7550.16"/>
    <n v="0.3"/>
    <s v="LPT"/>
    <n v="-1488962"/>
    <n v="-1488.962"/>
    <n v="-0.19720933066319124"/>
  </r>
  <r>
    <d v="2013-06-26T00:00:00"/>
    <s v="NEOENERGIA "/>
    <s v="NEOENERGIA "/>
    <s v="ELEKTRO ELETRICIDADE E SERVIÇOS S/A"/>
    <s v="02.328.280/0001-97"/>
    <s v="Programa Luz para Todos"/>
    <d v="2013-06-26T00:00:00"/>
    <n v="757099"/>
    <n v="757099"/>
    <n v="757.09900000000005"/>
    <s v="Sistema Antigo"/>
    <s v="Pago"/>
    <s v="ECFS 329/2013"/>
    <s v="5ª Tranche"/>
    <n v="0"/>
    <s v="MS"/>
    <s v="Liberações"/>
    <n v="3610060"/>
    <n v="3610.06"/>
    <n v="1081570"/>
    <n v="1081.57"/>
    <n v="0.29959889863326372"/>
    <s v="LPT"/>
    <n v="-114513.5"/>
    <n v="-114.51349999999999"/>
    <n v="-0.10587710457945394"/>
  </r>
  <r>
    <d v="2013-06-26T00:00:00"/>
    <s v="NEOENERGIA "/>
    <s v="NEOENERGIA"/>
    <s v="ELEKTRO ELETRICIDADE E SERVIÇOS S/A"/>
    <s v="02.328.280/0001-97"/>
    <s v="Programa Luz para Todos"/>
    <d v="2013-06-26T00:00:00"/>
    <n v="1888635"/>
    <n v="1888635"/>
    <n v="1888.635"/>
    <s v="Sistema Antigo"/>
    <s v="Pago"/>
    <s v="ECFS 330/2013"/>
    <s v="7ª Tranche"/>
    <n v="0"/>
    <s v="SP"/>
    <s v="Liberações"/>
    <n v="21469250"/>
    <n v="21469.25"/>
    <n v="2698050"/>
    <n v="2698.05"/>
    <n v="0.12567043562304225"/>
    <s v="LPT"/>
    <n v="-1038551.24"/>
    <n v="-1038.55124"/>
    <n v="-0.38492660995904449"/>
  </r>
  <r>
    <d v="2013-06-27T00:00:00"/>
    <s v="AMAZONAS ENERGIA"/>
    <s v="AMAZONAS ENERGIA"/>
    <s v="AMAZONAS ENERGIA S.A"/>
    <s v="02.341.467/0001-20"/>
    <s v="Programa Luz para Todos"/>
    <d v="2013-06-27T00:00:00"/>
    <n v="144221895"/>
    <n v="144221895"/>
    <n v="144221.89499999999"/>
    <d v="2013-06-27T00:00:00"/>
    <s v="Pago"/>
    <s v="ECFS 331/2013"/>
    <s v="6ª Tranche"/>
    <n v="0"/>
    <s v="AM"/>
    <s v="Liberações"/>
    <n v="178051730"/>
    <n v="178051.73"/>
    <n v="160246550"/>
    <n v="160246.54999999999"/>
    <n v="0.89999996068558274"/>
    <s v="LPT"/>
    <n v="-12690077.57"/>
    <n v="-12690.077569999999"/>
    <n v="-7.9190956497971407E-2"/>
  </r>
  <r>
    <d v="2017-08-01T00:00:00"/>
    <s v="COPEL"/>
    <s v="COPEL-DIS"/>
    <s v="COPEL DISTRIBUIÇÃO S.A."/>
    <s v="04.368.898/0001-06"/>
    <s v="Programa Luz para Todos"/>
    <d v="2017-08-01T00:00:00"/>
    <n v="5286987.7300000004"/>
    <n v="5286987.7300000004"/>
    <n v="5286.9877300000007"/>
    <s v="Sistema Antigo"/>
    <s v="Pago"/>
    <s v="ECFS 333/2013"/>
    <s v="5ª Tranche"/>
    <s v="parcela final"/>
    <s v="PR"/>
    <s v="Liberações"/>
    <n v="28307450"/>
    <n v="28307.45"/>
    <n v="5661490"/>
    <n v="5661.49"/>
    <n v="0.2"/>
    <s v="LPT"/>
    <n v="0"/>
    <n v="0"/>
    <n v="0"/>
  </r>
  <r>
    <d v="2017-11-01T00:00:00"/>
    <s v="CEDRI"/>
    <s v="CEDRI"/>
    <s v="Coop. Energização E Desenv. Ruraldo Vale Do Itariri Ltda"/>
    <s v="50.105.865/0001-90"/>
    <s v="Programa Luz para Todos"/>
    <d v="2017-11-01T00:00:00"/>
    <n v="1050546.92"/>
    <n v="1050546.92"/>
    <n v="1050.54692"/>
    <s v="Sistema Antigo"/>
    <s v="Pago"/>
    <s v="ECFS 335/2013"/>
    <s v="2ª Tranche"/>
    <s v="parcela final"/>
    <s v="SP"/>
    <s v="Liberações"/>
    <n v="1715720"/>
    <n v="1715.72"/>
    <n v="1201010"/>
    <n v="1201.01"/>
    <n v="0.70000349707411469"/>
    <s v="LPT"/>
    <n v="0"/>
    <n v="0"/>
    <n v="0"/>
  </r>
  <r>
    <d v="2020-06-01T00:00:00"/>
    <s v="ENERGISA"/>
    <s v="ENERGISA MS"/>
    <s v="ENERGISA MATO GROSSO DO SUL - DISTRIBUIDORA DE ENERGIA S.A."/>
    <s v="15.413.826/0001-50"/>
    <s v="Programa Luz para Todos"/>
    <d v="2020-06-01T00:00:00"/>
    <n v="21143706.149999999"/>
    <n v="21143706.149999999"/>
    <n v="21143.706149999998"/>
    <s v="Sistema Antigo"/>
    <s v="Pago"/>
    <s v="ECFS 338/2013"/>
    <s v="5ª Tranche"/>
    <s v="parcela final"/>
    <s v="MS"/>
    <s v="Liberações"/>
    <n v="40535220"/>
    <n v="40535.22"/>
    <n v="20267610"/>
    <n v="20267.61"/>
    <n v="0.5"/>
    <s v="LPT"/>
    <n v="0"/>
    <n v="0"/>
    <n v="0"/>
  </r>
  <r>
    <d v="2013-10-01T00:00:00"/>
    <s v="NEOENERGIA "/>
    <s v="NEOENERGIA "/>
    <s v="CIA. ENERGÉTICA DE PERNAMBUCO S. A. "/>
    <s v="10.835.932/0001-08"/>
    <s v="Programa Luz para Todos"/>
    <d v="2013-10-01T00:00:00"/>
    <n v="21662127"/>
    <n v="21662127"/>
    <n v="21662.127"/>
    <s v="Sistema Antigo"/>
    <s v="Pago"/>
    <s v="ECFS 339/2013"/>
    <s v="5ª Tranche"/>
    <n v="0"/>
    <s v="PE"/>
    <s v="Liberações"/>
    <n v="60172580"/>
    <n v="60172.58"/>
    <n v="24069030"/>
    <n v="24069.03"/>
    <n v="0.39999996676226945"/>
    <s v="LPT"/>
    <n v="-6271648.6699999999"/>
    <n v="-6271.6486699999996"/>
    <n v="-0.26056923232884749"/>
  </r>
  <r>
    <d v="2013-10-09T00:00:00"/>
    <s v="NEOENERGIA "/>
    <s v="NEOENERGIA "/>
    <s v="COMPANHIA ENERGÉTICA DO RIO GRANDE DO NORTE"/>
    <s v="08.324.196/0001-81"/>
    <s v="Programa Luz para Todos"/>
    <d v="2013-10-09T00:00:00"/>
    <n v="12348910"/>
    <n v="12348910"/>
    <n v="12348.91"/>
    <s v="Sistema Antigo"/>
    <s v="Pago"/>
    <s v="ECFS 340/2013"/>
    <s v="6ª Tranche"/>
    <n v="0"/>
    <s v="RN"/>
    <s v="Liberações"/>
    <n v="44103260"/>
    <n v="44103.26"/>
    <n v="17641300"/>
    <n v="17641.3"/>
    <n v="0.39999990930375667"/>
    <s v="LPT"/>
    <n v="-3941429.02"/>
    <n v="-3941.42902"/>
    <n v="-0.22342055404080199"/>
  </r>
  <r>
    <d v="2018-02-01T00:00:00"/>
    <s v="ENERGISA"/>
    <s v="ENERGISA SE"/>
    <s v="ENERGISA SERGIPE - DISTRIBUIDORA DE ENERGIA S.A"/>
    <s v="13.017.462/0001-63"/>
    <s v="Programa Luz para Todos"/>
    <d v="2018-02-01T00:00:00"/>
    <n v="7364433.25"/>
    <n v="7364433.25"/>
    <n v="7364.43325"/>
    <s v="Sistema Antigo"/>
    <s v="Pago"/>
    <s v="ECFS 341/2013"/>
    <s v="6ª Tranche"/>
    <s v="parcela final"/>
    <s v="SE"/>
    <s v="Liberações"/>
    <n v="13028920"/>
    <n v="13028.92"/>
    <n v="9120250"/>
    <n v="9120.25"/>
    <n v="0.700000460513995"/>
    <s v="LPT"/>
    <n v="0"/>
    <n v="0"/>
    <n v="0"/>
  </r>
  <r>
    <d v="2020-07-01T00:00:00"/>
    <s v="ENERGISA"/>
    <s v="ENERGISA TO"/>
    <s v="ENERGISA TOCANTINS DISTRIBUIDORA DE ENERGIA S.A."/>
    <s v="25.086.034/0001-71"/>
    <s v="Programa Luz para Todos"/>
    <d v="2020-07-01T00:00:00"/>
    <n v="12604397.560000001"/>
    <n v="12604397.560000001"/>
    <n v="12604.397560000001"/>
    <s v="Sistema Antigo"/>
    <s v="Pago"/>
    <s v="ECFS 343/2013"/>
    <s v="5ª Tranche"/>
    <s v="parcela final"/>
    <s v="TO"/>
    <s v="Liberações"/>
    <n v="117981500"/>
    <n v="117981.5"/>
    <n v="88486120"/>
    <n v="88486.12"/>
    <n v="0.74999995762047444"/>
    <s v="LPT"/>
    <n v="0"/>
    <n v="0"/>
    <n v="0"/>
  </r>
  <r>
    <d v="2017-09-01T00:00:00"/>
    <s v="EQUATORIAL"/>
    <s v="EQUATORIAL MARANHÃO"/>
    <s v="EQUATORIAL MARANHAO DISTRIBUIDORA DE ENERGIA S.A"/>
    <s v="06.272.793/0001-84"/>
    <s v="Programa Luz para Todos"/>
    <d v="2014-10-02T00:00:00"/>
    <n v="193224672"/>
    <n v="193224672"/>
    <n v="193224.67199999999"/>
    <s v="Sistema Antigo"/>
    <s v="Pago"/>
    <s v="ECFS-332/2013"/>
    <s v="7ª Tranche"/>
    <n v="0"/>
    <s v="MA"/>
    <s v="Liberações"/>
    <n v="285261950"/>
    <n v="285261.95"/>
    <n v="213946460"/>
    <n v="213946.46"/>
    <n v="0.74999999123612526"/>
    <s v="LPT"/>
    <n v="0"/>
    <n v="0"/>
    <n v="0"/>
  </r>
  <r>
    <d v="2021-02-01T00:00:00"/>
    <s v="EQUATORIAL"/>
    <s v="EQUATORIAL PARÁ"/>
    <s v="EQUATORIAL PARA DISTRIBUIDORA DE ENERGIA S.A."/>
    <s v="04.895.728/0001-80"/>
    <s v="Programa Luz para Todos"/>
    <d v="2021-02-01T00:00:00"/>
    <n v="15519825"/>
    <n v="15519825"/>
    <n v="15519.825000000001"/>
    <d v="2021-02-02T00:00:00"/>
    <s v="Pago"/>
    <s v="ECM 001/2020"/>
    <s v="1ª Tranche"/>
    <n v="0"/>
    <s v="PA"/>
    <s v="Liberações"/>
    <n v="57480830"/>
    <n v="57480.83"/>
    <n v="51732750"/>
    <n v="51732.75"/>
    <n v="0.90000005219131318"/>
    <s v="LPT"/>
    <n v="0"/>
    <n v="0"/>
    <n v="0"/>
  </r>
  <r>
    <d v="2021-04-01T00:00:00"/>
    <s v="AMAZONAS ENERGIA"/>
    <s v="AMAZONAS ENERGIA"/>
    <s v="CENTRAIS ELETRICAS BRASILEIRAS SA ELETROBRAS"/>
    <s v="00.001.180/0002-07"/>
    <s v="Mais Luz para Amazônia"/>
    <d v="2021-04-01T00:00:00"/>
    <n v="37278.6"/>
    <n v="37278.6"/>
    <n v="37.278599999999997"/>
    <d v="2021-04-01T00:00:00"/>
    <s v="Pago"/>
    <s v="ECM 002/2021"/>
    <s v="1ª Tranche"/>
    <s v="1ª"/>
    <s v="AM"/>
    <s v="Liberações"/>
    <n v="3727860"/>
    <n v="3727.86"/>
    <n v="3355080"/>
    <n v="3355.08"/>
    <n v="0.90000160950250274"/>
    <s v="MLA"/>
    <n v="-422723.60000000003"/>
    <n v="-422.72360000000003"/>
    <n v="-0.12599508804559056"/>
  </r>
  <r>
    <d v="2021-04-01T00:00:00"/>
    <s v="AMAZONAS ENERGIA"/>
    <s v="AMAZONAS ENERGIA"/>
    <s v="AMAZONAS ENERGIA S.A"/>
    <s v="02.341.467/0001-20"/>
    <s v="Mais Luz para Amazônia"/>
    <d v="2021-04-01T00:00:00"/>
    <n v="969245.4"/>
    <n v="969245.4"/>
    <n v="969.24540000000002"/>
    <d v="2021-04-01T00:00:00"/>
    <s v="Pago"/>
    <s v="ECM 002/2021"/>
    <s v="1ª Tranche"/>
    <s v="1ª"/>
    <s v="AM"/>
    <s v="Liberações"/>
    <n v="0"/>
    <n v="0"/>
    <n v="0"/>
    <n v="0"/>
    <n v="0"/>
    <s v="MLA"/>
    <n v="0"/>
    <n v="0"/>
    <n v="0"/>
  </r>
  <r>
    <d v="2022-01-01T00:00:00"/>
    <s v="AMAZONAS ENERGIA"/>
    <s v="AMAZONAS ENERGIA"/>
    <s v="AMAZONAS ENERGIA S.A"/>
    <s v="02.341.467/0001-20"/>
    <s v="Mais Luz para Amazônia"/>
    <d v="2022-01-01T00:00:00"/>
    <n v="2013048"/>
    <n v="2013048"/>
    <n v="2013.048"/>
    <d v="2022-01-28T00:00:00"/>
    <s v="Pago"/>
    <s v="ECM 002/2021"/>
    <s v="1ª Tranche"/>
    <s v="2ª "/>
    <s v="AM"/>
    <s v="Liberações"/>
    <n v="0"/>
    <n v="0"/>
    <n v="0"/>
    <n v="0"/>
    <n v="0"/>
    <s v="MLA"/>
    <n v="0"/>
    <n v="0"/>
    <n v="0"/>
  </r>
  <r>
    <d v="2021-04-01T00:00:00"/>
    <s v="EQUATORIAL"/>
    <s v="EQUATORIAL PARÁ"/>
    <s v="CENTRAIS ELETRICAS BRASILEIRAS SA ELETROBRAS"/>
    <s v="00.001.180/0002-07"/>
    <s v="Mais Luz para Amazônia"/>
    <d v="2021-04-01T00:00:00"/>
    <n v="3616936.6"/>
    <n v="3616936.6"/>
    <n v="3616.9366"/>
    <d v="2021-04-08T00:00:00"/>
    <s v="Pago"/>
    <s v="ECM 003/2021"/>
    <s v="2ª Tranche"/>
    <s v="1ª"/>
    <s v="PA"/>
    <s v="Liberações"/>
    <n v="361693660"/>
    <n v="361693.66"/>
    <n v="325524290"/>
    <n v="325524.28999999998"/>
    <n v="0.89999998894091759"/>
    <s v="MLA"/>
    <n v="-791518.62"/>
    <n v="-791.51861999999994"/>
    <n v="-2.4315193806274792E-3"/>
  </r>
  <r>
    <d v="2021-04-01T00:00:00"/>
    <s v="EQUATORIAL"/>
    <s v="EQUATORIAL PARÁ"/>
    <s v="EQUATORIAL PARA DISTRIBUIDORA DE ENERGIA S.A."/>
    <s v="04.895.728/0001-80"/>
    <s v="Mais Luz para Amazônia"/>
    <d v="2021-04-01T00:00:00"/>
    <n v="94040350.400000006"/>
    <n v="94040350.400000006"/>
    <n v="94040.35040000001"/>
    <d v="2021-04-08T00:00:00"/>
    <s v="Pago"/>
    <s v="ECM 003/2021"/>
    <s v="2ª Tranche"/>
    <s v="1ª"/>
    <s v="PA"/>
    <s v="Liberações"/>
    <n v="0"/>
    <n v="0"/>
    <n v="0"/>
    <n v="0"/>
    <n v="0"/>
    <s v="MLA"/>
    <n v="0"/>
    <n v="0"/>
    <n v="0"/>
  </r>
  <r>
    <d v="2022-02-01T00:00:00"/>
    <s v="EQUATORIAL"/>
    <s v="EQUATORIAL PARÁ"/>
    <s v="EQUATORIAL PARA DISTRIBUIDORA DE ENERGIA S.A."/>
    <s v="04.895.728/0001-80"/>
    <s v="Mais Luz para Amazônia"/>
    <d v="2022-02-01T00:00:00"/>
    <n v="65104858"/>
    <n v="65104858"/>
    <n v="65104.858"/>
    <d v="2022-02-17T00:00:00"/>
    <s v="Pago"/>
    <s v="ECM 003/2021"/>
    <s v="2ª Tranche"/>
    <s v="2ª"/>
    <s v="PA"/>
    <s v="Liberações"/>
    <n v="0"/>
    <n v="0"/>
    <n v="0"/>
    <n v="0"/>
    <n v="0"/>
    <s v="MLA"/>
    <n v="0"/>
    <n v="0"/>
    <n v="0"/>
  </r>
  <r>
    <d v="2022-06-01T00:00:00"/>
    <s v="EQUATORIAL"/>
    <s v="EQUATORIAL PARÁ"/>
    <s v="EQUATORIAL PARA DISTRIBUIDORA DE ENERGIA S.A."/>
    <s v="04.895.728/0001-80"/>
    <s v="Mais Luz para Amazônia"/>
    <d v="2022-06-01T00:00:00"/>
    <n v="48828643.5"/>
    <n v="48828643.5"/>
    <n v="48828.643499999998"/>
    <d v="2022-06-24T00:00:00"/>
    <s v="Pago"/>
    <s v="ECM 003/2021"/>
    <s v="2ª Tranche"/>
    <s v="3ª "/>
    <s v="PA"/>
    <s v="Liberações"/>
    <n v="0"/>
    <n v="0"/>
    <n v="0"/>
    <n v="0"/>
    <n v="0"/>
    <s v="MLA"/>
    <n v="0"/>
    <n v="0"/>
    <n v="0"/>
  </r>
  <r>
    <d v="2022-08-01T00:00:00"/>
    <s v="EQUATORIAL"/>
    <s v="EQUATORIAL PARÁ"/>
    <s v="EQUATORIAL PARA DISTRIBUIDORA DE ENERGIA S.A."/>
    <s v="04.895.728/0001-80"/>
    <s v="Mais Luz para Amazônia"/>
    <d v="2022-08-01T00:00:00"/>
    <n v="81381072.5"/>
    <n v="81381072.5"/>
    <n v="81381.072499999995"/>
    <d v="2022-08-26T00:00:00"/>
    <s v="Pago"/>
    <s v="ECM 003/2021"/>
    <s v="2ª Tranche"/>
    <s v="4ª"/>
    <s v="PA"/>
    <s v="Liberações"/>
    <n v="0"/>
    <n v="0"/>
    <n v="0"/>
    <n v="0"/>
    <n v="0"/>
    <s v="MLA"/>
    <n v="0"/>
    <n v="0"/>
    <n v="0"/>
  </r>
  <r>
    <d v="2021-10-01T00:00:00"/>
    <s v="RORAIMA ENERGIA"/>
    <s v="RORAIMA ENERGIA"/>
    <s v="CENTRAIS ELETRICAS BRASILEIRAS SA ELETROBRAS"/>
    <s v="00.001.180/0002-07"/>
    <s v="Mais Luz para Amazônia"/>
    <d v="2021-10-01T00:00:00"/>
    <n v="367553.3"/>
    <n v="367553.3"/>
    <n v="367.55329999999998"/>
    <d v="2021-10-22T00:00:00"/>
    <s v="Pago"/>
    <s v="ECM 004/2021"/>
    <s v="1ª Tranche"/>
    <s v="1ª"/>
    <s v="RR"/>
    <s v="Liberações"/>
    <n v="37177200"/>
    <n v="37177.199999999997"/>
    <n v="33459480"/>
    <n v="33459.480000000003"/>
    <n v="0.9"/>
    <s v="MLA"/>
    <n v="-3793435.53"/>
    <n v="-3793.4355299999997"/>
    <n v="-0.11337401328412754"/>
  </r>
  <r>
    <d v="2021-10-01T00:00:00"/>
    <s v="RORAIMA ENERGIA"/>
    <s v="RORAIMA ENERGIA"/>
    <s v="RORAIMA ENERGIA S.A"/>
    <s v="02.341.470/0001-44"/>
    <s v="Mais Luz para Amazônia"/>
    <d v="2021-10-01T00:00:00"/>
    <n v="9556383.6999999993"/>
    <n v="9556383.6999999993"/>
    <n v="9556.3836999999985"/>
    <d v="2021-10-07T00:00:00"/>
    <s v="Pago"/>
    <s v="ECM 004/2021"/>
    <s v="1ª Tranche"/>
    <s v="1ª"/>
    <s v="RR"/>
    <s v="Liberações"/>
    <n v="0"/>
    <n v="0"/>
    <n v="0"/>
    <n v="0"/>
    <n v="0"/>
    <s v="MLA"/>
    <n v="0"/>
    <n v="0"/>
    <n v="0"/>
  </r>
  <r>
    <d v="2023-03-01T00:00:00"/>
    <s v="RORAIMA ENERGIA"/>
    <s v="RORAIMA ENERGIA"/>
    <s v="CENTRAIS ELETRICAS BRASILEIRAS SA ELETROBRAS"/>
    <s v="00.001.180/0002-07"/>
    <s v="Mais Luz para Amazônia"/>
    <d v="2023-03-01T00:00:00"/>
    <n v="4218.7"/>
    <n v="4218.7"/>
    <n v="4.2187000000000001"/>
    <d v="2023-03-01T00:00:00"/>
    <s v="Pago"/>
    <s v="ECM 004/2021"/>
    <s v="1ª Tranche"/>
    <s v="1ª"/>
    <s v="RR"/>
    <s v="Liberações"/>
    <n v="0"/>
    <n v="0"/>
    <n v="0"/>
    <n v="0"/>
    <n v="0"/>
    <s v="MLA"/>
    <n v="0"/>
    <n v="0"/>
    <n v="0"/>
  </r>
  <r>
    <d v="2023-03-01T00:00:00"/>
    <s v="RORAIMA ENERGIA"/>
    <s v="RORAIMA ENERGIA"/>
    <s v="RORAIMA ENERGIA S.A"/>
    <s v="02.341.470/0001-44"/>
    <s v="Mais Luz para Amazônia"/>
    <d v="2023-03-01T00:00:00"/>
    <n v="109688.3"/>
    <n v="109688.3"/>
    <n v="109.6883"/>
    <d v="2023-03-01T00:00:00"/>
    <s v="Pago"/>
    <s v="ECM 004/2021"/>
    <s v="1ª Tranche"/>
    <s v="1ª"/>
    <s v="RR"/>
    <s v="Liberações"/>
    <n v="0"/>
    <n v="0"/>
    <n v="0"/>
    <n v="0"/>
    <n v="0"/>
    <s v="MLA"/>
    <n v="0"/>
    <n v="0"/>
    <n v="0"/>
  </r>
  <r>
    <d v="2023-11-01T00:00:00"/>
    <s v="RORAIMA ENERGIA"/>
    <s v="RORAIMA ENERGIA"/>
    <s v="RORAIMA ENERGIA S.A"/>
    <s v="02.341.470/0001-44"/>
    <s v="Mais Luz para Amazônia"/>
    <d v="2023-11-30T00:00:00"/>
    <n v="6615958"/>
    <n v="6615958"/>
    <n v="6615.9579999999996"/>
    <d v="2023-11-30T00:00:00"/>
    <s v="Pago"/>
    <s v="ECM 004/2021"/>
    <s v="1ª Tranche"/>
    <s v="3ª"/>
    <s v="RR"/>
    <s v="Liberações"/>
    <n v="0"/>
    <n v="0"/>
    <n v="0"/>
    <n v="0"/>
    <n v="0"/>
    <s v="MLA"/>
    <n v="0"/>
    <n v="0"/>
    <n v="0"/>
  </r>
  <r>
    <d v="2025-05-01T00:00:00"/>
    <s v="RORAIMA ENERGIA"/>
    <s v="RORAIMA ENERGIA"/>
    <s v="RORAIMA ENERGIA S.A"/>
    <s v="02.341.470/0001-44"/>
    <s v="Mais Luz para Amazônia"/>
    <d v="2025-05-01T00:00:00"/>
    <n v="5018922"/>
    <n v="5018922"/>
    <n v="5018.9219999999996"/>
    <d v="2025-05-23T00:00:00"/>
    <s v="Pago"/>
    <s v="ECM 004/2021"/>
    <s v="1ª Tranche"/>
    <s v="3ª"/>
    <s v="RR"/>
    <s v="Liberações"/>
    <n v="0"/>
    <n v="0"/>
    <n v="0"/>
    <n v="0"/>
    <n v="0"/>
    <s v="MLA"/>
    <n v="0"/>
    <n v="0"/>
    <n v="0"/>
  </r>
  <r>
    <d v="2025-05-01T00:00:00"/>
    <s v="RORAIMA ENERGIA"/>
    <s v="RORAIMA ENERGIA"/>
    <s v="RORAIMA ENERGIA S.A"/>
    <s v="02.341.470/0001-44"/>
    <s v="Mais Luz para Amazônia"/>
    <d v="2025-05-01T00:00:00"/>
    <n v="5018922"/>
    <n v="5018922"/>
    <n v="5018.9219999999996"/>
    <d v="2025-05-23T00:00:00"/>
    <s v="Pago"/>
    <s v="ECM 004/2021"/>
    <s v="1ª Tranche"/>
    <s v="4ª"/>
    <s v="RR"/>
    <s v="Liberações"/>
    <n v="0"/>
    <n v="0"/>
    <n v="0"/>
    <n v="0"/>
    <n v="0"/>
    <s v="MLA"/>
    <n v="0"/>
    <n v="0"/>
    <n v="0"/>
  </r>
  <r>
    <d v="2025-05-01T00:00:00"/>
    <s v="RORAIMA ENERGIA"/>
    <s v="RORAIMA ENERGIA"/>
    <s v="RORAIMA ENERGIA S.A"/>
    <s v="02.341.470/0001-44"/>
    <s v="Mais Luz para Amazônia"/>
    <d v="2025-05-01T00:00:00"/>
    <n v="3345948"/>
    <n v="3345948"/>
    <n v="3345.9479999999999"/>
    <d v="2025-05-23T00:00:00"/>
    <s v="Pago"/>
    <s v="ECM 004/2021"/>
    <s v="1ª Tranche"/>
    <s v="5ª"/>
    <s v="RR"/>
    <s v="Liberações"/>
    <n v="0"/>
    <n v="0"/>
    <n v="0"/>
    <n v="0"/>
    <n v="0"/>
    <s v="MLA"/>
    <n v="0"/>
    <n v="0"/>
    <n v="0"/>
  </r>
  <r>
    <d v="2022-01-01T00:00:00"/>
    <s v="EQUATORIAL"/>
    <s v="EQUATORIAL MARANHÃO"/>
    <s v="CENTRAIS ELETRICAS BRASILEIRAS SA ELETROBRAS"/>
    <s v="00.001.180/0002-07"/>
    <s v="Mais Luz para Amazônia"/>
    <d v="2022-01-01T00:00:00"/>
    <n v="632509.19999999995"/>
    <n v="632509.19999999995"/>
    <n v="632.50919999999996"/>
    <d v="2022-01-31T00:00:00"/>
    <s v="Pago"/>
    <s v="ECM 005/2021"/>
    <s v="1ª Tranche"/>
    <s v="1ª "/>
    <s v="MA"/>
    <s v="Liberações"/>
    <n v="59603860"/>
    <n v="59603.86"/>
    <n v="41722700"/>
    <n v="41722.699999999997"/>
    <n v="0.69999996644512619"/>
    <s v="MLA"/>
    <n v="0"/>
    <n v="0"/>
    <n v="0"/>
  </r>
  <r>
    <d v="2022-01-01T00:00:00"/>
    <s v="EQUATORIAL"/>
    <s v="EQUATORIAL MARANHÃO"/>
    <s v="EQUATORIAL MARANHAO DISTRIBUIDORA DE ENERGIA S.A"/>
    <s v="06.272.793/0001-84"/>
    <s v="Mais Luz para Amazônia"/>
    <d v="2022-01-01T00:00:00"/>
    <n v="12650182.800000001"/>
    <n v="12650182.800000001"/>
    <n v="12650.1828"/>
    <d v="2022-01-31T00:00:00"/>
    <s v="Pago"/>
    <s v="ECM 005/2021"/>
    <s v="1ª Tranche"/>
    <s v="1ª "/>
    <s v="MA"/>
    <s v="Liberações"/>
    <n v="0"/>
    <n v="0"/>
    <n v="0"/>
    <n v="0"/>
    <n v="0"/>
    <s v="MLA"/>
    <n v="0"/>
    <n v="0"/>
    <n v="0"/>
  </r>
  <r>
    <d v="2023-10-01T00:00:00"/>
    <s v="EQUATORIAL"/>
    <s v="EQUATORIAL MARANHÃO"/>
    <s v="EQUATORIAL MARANHAO DISTRIBUIDORA DE ENERGIA S.A"/>
    <s v="06.272.793/0001-84"/>
    <s v="Mais Luz para Amazônia"/>
    <d v="2023-10-02T00:00:00"/>
    <n v="7578678.1200000001"/>
    <n v="7578678.1200000001"/>
    <n v="7578.6781200000005"/>
    <d v="2023-10-20T00:00:00"/>
    <s v="Pago"/>
    <s v="ECM 005/2021"/>
    <s v="1ª Tranche"/>
    <s v="2ª"/>
    <s v="MA"/>
    <s v="Liberações"/>
    <n v="0"/>
    <n v="0"/>
    <n v="0"/>
    <n v="0"/>
    <n v="0"/>
    <s v="MLA"/>
    <n v="0"/>
    <n v="0"/>
    <n v="0"/>
  </r>
  <r>
    <d v="2023-11-01T00:00:00"/>
    <s v="EQUATORIAL"/>
    <s v="EQUATORIAL MARANHÃO"/>
    <s v="EQUATORIAL MARANHAO DISTRIBUIDORA DE ENERGIA S.A"/>
    <s v="06.272.793/0001-84"/>
    <s v="Mais Luz para Amazônia"/>
    <d v="2023-10-10T00:00:00"/>
    <n v="6258384.8799999999"/>
    <n v="6258384.8799999999"/>
    <n v="6258.3848799999996"/>
    <d v="2023-11-09T00:00:00"/>
    <s v="Pago"/>
    <s v="ECM 005/2021"/>
    <s v="1ª Tranche"/>
    <s v="3ª"/>
    <s v="MA"/>
    <s v="Liberações"/>
    <n v="0"/>
    <n v="0"/>
    <n v="0"/>
    <n v="0"/>
    <n v="0"/>
    <s v="MLA"/>
    <n v="0"/>
    <n v="0"/>
    <n v="0"/>
  </r>
  <r>
    <d v="2023-12-01T00:00:00"/>
    <s v="EQUATORIAL"/>
    <s v="EQUATORIAL MARANHÃO"/>
    <s v="EQUATORIAL MARANHAO DISTRIBUIDORA DE ENERGIA S.A"/>
    <s v="06.272.793/0001-84"/>
    <s v="Mais Luz para Amazônia"/>
    <d v="2023-11-01T00:00:00"/>
    <n v="6258405"/>
    <n v="6258405"/>
    <n v="6258.4049999999997"/>
    <d v="2023-12-08T00:00:00"/>
    <s v="Pago"/>
    <s v="ECM 005/2021"/>
    <s v="1ª Tranche"/>
    <s v="4ª"/>
    <s v="MA"/>
    <s v="Liberações"/>
    <n v="0"/>
    <n v="0"/>
    <n v="0"/>
    <n v="0"/>
    <n v="0"/>
    <s v="MLA"/>
    <n v="0"/>
    <n v="0"/>
    <n v="0"/>
  </r>
  <r>
    <d v="2023-12-01T00:00:00"/>
    <s v="EQUATORIAL"/>
    <s v="EQUATORIAL MARANHÃO"/>
    <s v="EQUATORIAL MARANHAO DISTRIBUIDORA DE ENERGIA S.A"/>
    <s v="06.272.793/0001-84"/>
    <s v="Mais Luz para Amazônia"/>
    <d v="2023-12-01T00:00:00"/>
    <n v="4172270"/>
    <n v="4172270"/>
    <n v="4172.2700000000004"/>
    <d v="2023-12-28T00:00:00"/>
    <s v="Pago"/>
    <s v="ECM 005/2021"/>
    <s v="1ª Tranche"/>
    <s v="5ª"/>
    <s v="MA"/>
    <s v="Liberações"/>
    <n v="0"/>
    <n v="0"/>
    <n v="0"/>
    <n v="0"/>
    <n v="0"/>
    <s v="MLA"/>
    <n v="0"/>
    <n v="0"/>
    <n v="0"/>
  </r>
  <r>
    <d v="2022-01-01T00:00:00"/>
    <s v="AMAZONAS ENERGIA"/>
    <s v="AMAZONAS ENERGIA"/>
    <s v="CENTRAIS ELETRICAS BRASILEIRAS SA ELETROBRAS"/>
    <s v="00.001.180/0002-07"/>
    <s v="Mais Luz para Amazônia"/>
    <d v="2022-01-01T00:00:00"/>
    <n v="2096523.8"/>
    <n v="2096523.8"/>
    <n v="2096.5237999999999"/>
    <d v="2022-01-20T00:00:00"/>
    <s v="Pago"/>
    <s v="ECM 006/2021"/>
    <s v="2ª Tranche"/>
    <s v="1ª "/>
    <s v="AM"/>
    <s v="Liberações"/>
    <n v="209652380"/>
    <n v="209652.38"/>
    <n v="188687140"/>
    <n v="188687.14"/>
    <n v="0.89999999046039925"/>
    <s v="MLA"/>
    <n v="-24736890.989999998"/>
    <n v="-24736.89099"/>
    <n v="-0.13110003675926191"/>
  </r>
  <r>
    <d v="2022-01-01T00:00:00"/>
    <s v="AMAZONAS ENERGIA"/>
    <s v="AMAZONAS ENERGIA"/>
    <s v="AMAZONAS ENERGIA S.A"/>
    <s v="02.341.467/0001-20"/>
    <s v="Mais Luz para Amazônia"/>
    <d v="2022-01-01T00:00:00"/>
    <n v="54509618.200000003"/>
    <n v="54509618.200000003"/>
    <n v="54509.618200000004"/>
    <d v="2022-01-20T00:00:00"/>
    <s v="Pago"/>
    <s v="ECM 006/2021"/>
    <s v="2ª Tranche"/>
    <s v="1ª "/>
    <s v="AM"/>
    <s v="Liberações"/>
    <n v="0"/>
    <n v="0"/>
    <n v="0"/>
    <n v="0"/>
    <n v="0"/>
    <s v="MLA"/>
    <n v="0"/>
    <n v="0"/>
    <n v="0"/>
  </r>
  <r>
    <d v="2023-04-01T00:00:00"/>
    <s v="AMAZONAS ENERGIA"/>
    <s v="AMAZONAS ENERGIA"/>
    <s v="AMAZONAS ENERGIA S.A"/>
    <s v="02.341.467/0001-20"/>
    <s v="Mais Luz para Amazônia"/>
    <d v="2023-04-01T00:00:00"/>
    <n v="37737428"/>
    <n v="37737428"/>
    <n v="37737.428"/>
    <d v="2023-04-28T00:00:00"/>
    <s v="Pago"/>
    <s v="ECM 006/2021"/>
    <s v="2ª Tranche"/>
    <s v="2ª"/>
    <s v="AM"/>
    <s v="Liberações"/>
    <n v="0"/>
    <n v="0"/>
    <n v="0"/>
    <n v="0"/>
    <n v="0"/>
    <s v="MLA"/>
    <n v="0"/>
    <n v="0"/>
    <n v="0"/>
  </r>
  <r>
    <d v="2023-05-01T00:00:00"/>
    <s v="AMAZONAS ENERGIA"/>
    <s v="AMAZONAS ENERGIA"/>
    <s v="AMAZONAS ENERGIA S.A"/>
    <s v="02.341.467/0001-20"/>
    <s v="Mais Luz para Amazônia"/>
    <d v="2023-05-01T00:00:00"/>
    <n v="28303071"/>
    <n v="28303071"/>
    <n v="28303.071"/>
    <d v="2023-05-31T00:00:00"/>
    <s v="Pago"/>
    <s v="ECM 006/2021"/>
    <s v="2ª Tranche"/>
    <s v="3ª "/>
    <s v="AM"/>
    <s v="Liberações"/>
    <n v="0"/>
    <n v="0"/>
    <n v="0"/>
    <n v="0"/>
    <n v="0"/>
    <s v="MLA"/>
    <n v="0"/>
    <n v="0"/>
    <n v="0"/>
  </r>
  <r>
    <d v="2023-07-01T00:00:00"/>
    <s v="AMAZONAS ENERGIA"/>
    <s v="AMAZONAS ENERGIA"/>
    <s v="AMAZONAS ENERGIA S.A"/>
    <s v="02.341.467/0001-20"/>
    <s v="Mais Luz para Amazônia"/>
    <d v="2023-07-01T00:00:00"/>
    <n v="28303071"/>
    <n v="28303071"/>
    <n v="28303.071"/>
    <d v="2023-07-21T00:00:00"/>
    <s v="Pago"/>
    <s v="ECM 006/2021"/>
    <s v="2ª Tranche"/>
    <s v="4ª"/>
    <s v="AM"/>
    <s v="Liberações"/>
    <n v="0"/>
    <n v="0"/>
    <n v="0"/>
    <n v="0"/>
    <n v="0"/>
    <s v="MLA"/>
    <n v="0"/>
    <n v="0"/>
    <n v="0"/>
  </r>
  <r>
    <d v="2023-08-01T00:00:00"/>
    <s v="AMAZONAS ENERGIA"/>
    <s v="AMAZONAS ENERGIA"/>
    <s v="AMAZONAS ENERGIA S.A"/>
    <s v="02.341.467/0001-20"/>
    <s v="Mais Luz para Amazônia"/>
    <d v="2023-08-01T00:00:00"/>
    <n v="18868714"/>
    <n v="18868714"/>
    <n v="18868.714"/>
    <d v="2023-08-25T00:00:00"/>
    <s v="Pago"/>
    <s v="ECM 006/2021"/>
    <s v="2ª Tranche"/>
    <s v="5ª"/>
    <s v="AM"/>
    <s v="Liberações"/>
    <n v="0"/>
    <n v="0"/>
    <n v="0"/>
    <n v="0"/>
    <n v="0"/>
    <s v="MLA"/>
    <n v="0"/>
    <n v="0"/>
    <n v="0"/>
  </r>
  <r>
    <d v="2022-03-01T00:00:00"/>
    <s v="ENERGISA"/>
    <s v="ENERGISA RO"/>
    <s v="CENTRAIS ELETRICAS BRASILEIRAS SA ELETROBRAS"/>
    <s v="00.001.180/0002-07"/>
    <s v="Mais Luz para Amazônia"/>
    <d v="2022-03-01T00:00:00"/>
    <n v="329045.5"/>
    <n v="329045.5"/>
    <n v="329.0455"/>
    <d v="2022-03-18T00:00:00"/>
    <s v="Pago"/>
    <s v="ECM 007/2021"/>
    <s v="1ª Tranche"/>
    <s v="1ª "/>
    <s v="RO"/>
    <s v="Liberações"/>
    <n v="31629920"/>
    <n v="31629.919999999998"/>
    <n v="28466920"/>
    <n v="28466.92"/>
    <n v="0.89999974707492147"/>
    <s v="MLA"/>
    <n v="-1060513.8899999999"/>
    <n v="-1060.5138899999999"/>
    <n v="-3.7254254763072363E-2"/>
  </r>
  <r>
    <d v="2022-03-01T00:00:00"/>
    <s v="ENERGISA"/>
    <s v="ENERGISA RO"/>
    <s v="ENERGISA RONDONIA - DISTRIBUIDORA DE ENERGIA S.A"/>
    <s v="05.914.650/0001-66"/>
    <s v="Mais Luz para Amazônia"/>
    <d v="2022-03-01T00:00:00"/>
    <n v="8555184.5"/>
    <n v="8555184.5"/>
    <n v="8555.1844999999994"/>
    <d v="2022-03-18T00:00:00"/>
    <s v="Pago"/>
    <s v="ECM 007/2021"/>
    <s v="1ª Tranche"/>
    <s v="1ª "/>
    <s v="RO"/>
    <s v="Liberações"/>
    <n v="0"/>
    <n v="0"/>
    <n v="0"/>
    <n v="0"/>
    <n v="0"/>
    <s v="MLA"/>
    <n v="0"/>
    <n v="0"/>
    <n v="0"/>
  </r>
  <r>
    <d v="2022-09-01T00:00:00"/>
    <s v="ENERGISA"/>
    <s v="ENERGISA RO"/>
    <s v="ENERGISA RONDONIA - DISTRIBUIDORA DE ENERGIA S.A"/>
    <s v="05.914.650/0001-66"/>
    <s v="Mais Luz para Amazônia"/>
    <d v="2022-09-01T00:00:00"/>
    <n v="5922820"/>
    <n v="5922820"/>
    <n v="5922.82"/>
    <d v="2022-09-26T00:00:00"/>
    <s v="Pago"/>
    <s v="ECM 007/2021"/>
    <s v="1ª Tranche"/>
    <s v="2ª"/>
    <s v="RO"/>
    <s v="Liberações"/>
    <n v="0"/>
    <n v="0"/>
    <n v="0"/>
    <n v="0"/>
    <n v="0"/>
    <s v="MLA"/>
    <n v="0"/>
    <n v="0"/>
    <n v="0"/>
  </r>
  <r>
    <d v="2022-10-01T00:00:00"/>
    <s v="ENERGISA"/>
    <s v="ENERGISA RO"/>
    <s v="ENERGISA RONDONIA - DISTRIBUIDORA DE ENERGIA S.A"/>
    <s v="05.914.650/0001-66"/>
    <s v="Mais Luz para Amazônia"/>
    <d v="2022-10-01T00:00:00"/>
    <n v="4442115"/>
    <n v="4442115"/>
    <n v="4442.1149999999998"/>
    <d v="2022-10-28T00:00:00"/>
    <s v="Pago"/>
    <s v="ECM 007/2021"/>
    <s v="1ª Tranche"/>
    <s v="3ª "/>
    <s v="RO"/>
    <s v="Liberações"/>
    <n v="0"/>
    <n v="0"/>
    <n v="0"/>
    <n v="0"/>
    <n v="0"/>
    <s v="MLA"/>
    <n v="0"/>
    <n v="0"/>
    <n v="0"/>
  </r>
  <r>
    <d v="2022-11-01T00:00:00"/>
    <s v="ENERGISA"/>
    <s v="ENERGISA RO"/>
    <s v="ENERGISA RONDONIA - DISTRIBUIDORA DE ENERGIA S.A"/>
    <s v="05.914.650/0001-66"/>
    <s v="Mais Luz para Amazônia"/>
    <d v="2022-11-01T00:00:00"/>
    <n v="4442115"/>
    <n v="4442115"/>
    <n v="4442.1149999999998"/>
    <d v="2022-11-11T00:00:00"/>
    <s v="Pago"/>
    <s v="ECM 007/2021"/>
    <s v="1ª Tranche"/>
    <s v="4ª"/>
    <s v="RO"/>
    <s v="Liberações"/>
    <n v="0"/>
    <n v="0"/>
    <n v="0"/>
    <n v="0"/>
    <n v="0"/>
    <s v="MLA"/>
    <n v="0"/>
    <n v="0"/>
    <n v="0"/>
  </r>
  <r>
    <d v="2023-01-01T00:00:00"/>
    <s v="ENERGISA"/>
    <s v="ENERGISA RO"/>
    <s v="ENERGISA RONDONIA - DISTRIBUIDORA DE ENERGIA S.A"/>
    <s v="05.914.650/0001-66"/>
    <s v="Mais Luz para Amazônia"/>
    <d v="2023-01-01T00:00:00"/>
    <n v="2961410"/>
    <n v="2961410"/>
    <n v="2961.41"/>
    <d v="2023-01-27T00:00:00"/>
    <s v="Pago"/>
    <s v="ECM 007/2021"/>
    <s v="1ª Tranche"/>
    <s v="5ª "/>
    <s v="RO"/>
    <s v="Liberações"/>
    <n v="0"/>
    <n v="0"/>
    <n v="0"/>
    <n v="0"/>
    <n v="0"/>
    <s v="MLA"/>
    <n v="0"/>
    <n v="0"/>
    <n v="0"/>
  </r>
  <r>
    <d v="2024-02-01T00:00:00"/>
    <s v="ENERGISA"/>
    <s v="ENERGISA RO"/>
    <s v="ENERGISA RONDONIA - DISTRIBUIDORA DE ENERGIA S.A"/>
    <s v="05.914.650/0001-66"/>
    <s v="Mais Luz para Amazônia"/>
    <d v="2024-02-01T00:00:00"/>
    <n v="1335648.8799999999"/>
    <n v="1335648.8799999999"/>
    <n v="1335.64888"/>
    <d v="2024-02-16T00:00:00"/>
    <s v="Pago"/>
    <s v="ECM 007/2021"/>
    <s v="1ª Tranche"/>
    <s v="parcela final"/>
    <s v="RO"/>
    <s v="Liberações"/>
    <n v="0"/>
    <n v="0"/>
    <n v="0"/>
    <n v="0"/>
    <n v="0"/>
    <s v="MLA"/>
    <n v="0"/>
    <n v="0"/>
    <n v="0"/>
  </r>
  <r>
    <d v="2022-04-01T00:00:00"/>
    <s v="ENERGISA"/>
    <s v="ENERGISA AC"/>
    <s v="CENTRAIS ELETRICAS BRASILEIRAS SA ELETROBRAS"/>
    <s v="00.001.180/0002-07"/>
    <s v="Mais Luz para Amazônia"/>
    <d v="2022-04-01T00:00:00"/>
    <n v="660685.69999999995"/>
    <n v="660685.69999999995"/>
    <n v="660.6857"/>
    <d v="2022-04-29T00:00:00"/>
    <s v="Pago"/>
    <s v="ECM 008/2022"/>
    <s v="1ª Tranche"/>
    <s v="1ª"/>
    <s v="AC"/>
    <s v="Liberações"/>
    <n v="66068570"/>
    <n v="66068.570000000007"/>
    <n v="59461710"/>
    <n v="59461.71"/>
    <n v="0.89999995459263005"/>
    <s v="MLA"/>
    <n v="0"/>
    <n v="0"/>
    <n v="0"/>
  </r>
  <r>
    <d v="2022-04-01T00:00:00"/>
    <s v="ENERGISA"/>
    <s v="ENERGISA AC"/>
    <s v="ENERGISA ACRE - DISTRIBUIDORA DE ENERGIA S.A"/>
    <s v="04.065.033/0001-70"/>
    <s v="Mais Luz para Amazônia"/>
    <d v="2022-04-01T00:00:00"/>
    <n v="17177827.300000001"/>
    <n v="17177827.300000001"/>
    <n v="17177.827300000001"/>
    <d v="2022-04-29T00:00:00"/>
    <s v="Pago"/>
    <s v="ECM 008/2022"/>
    <s v="1ª Tranche"/>
    <s v="1ª"/>
    <s v="AC"/>
    <s v="Liberações"/>
    <n v="0"/>
    <n v="0"/>
    <n v="0"/>
    <n v="0"/>
    <n v="0"/>
    <s v="MLA"/>
    <n v="0"/>
    <n v="0"/>
    <n v="0"/>
  </r>
  <r>
    <d v="2022-09-01T00:00:00"/>
    <s v="ENERGISA"/>
    <s v="ENERGISA AC"/>
    <s v="ENERGISA ACRE - DISTRIBUIDORA DE ENERGIA S.A"/>
    <s v="04.065.033/0001-70"/>
    <s v="Mais Luz para Amazônia"/>
    <d v="2022-09-01T00:00:00"/>
    <n v="11892342"/>
    <n v="11892342"/>
    <n v="11892.342000000001"/>
    <d v="2022-09-15T00:00:00"/>
    <s v="Pago"/>
    <s v="ECM 008/2022"/>
    <s v="1ª Tranche"/>
    <s v="2ª"/>
    <s v="AC"/>
    <s v="Liberações"/>
    <n v="0"/>
    <n v="0"/>
    <n v="0"/>
    <n v="0"/>
    <n v="0"/>
    <s v="MLA"/>
    <n v="0"/>
    <n v="0"/>
    <n v="0"/>
  </r>
  <r>
    <d v="2022-10-01T00:00:00"/>
    <s v="ENERGISA"/>
    <s v="ENERGISA AC"/>
    <s v="ENERGISA ACRE - DISTRIBUIDORA DE ENERGIA S.A"/>
    <s v="04.065.033/0001-70"/>
    <s v="Mais Luz para Amazônia"/>
    <d v="2022-09-01T00:00:00"/>
    <n v="8919256.5"/>
    <n v="8919256.5"/>
    <n v="8919.2564999999995"/>
    <d v="2022-10-07T00:00:00"/>
    <s v="Pago"/>
    <s v="ECM 008/2022"/>
    <s v="1ª Tranche"/>
    <s v="3ª "/>
    <s v="AC"/>
    <s v="Liberações"/>
    <n v="0"/>
    <n v="0"/>
    <n v="0"/>
    <n v="0"/>
    <n v="0"/>
    <s v="MLA"/>
    <n v="0"/>
    <n v="0"/>
    <n v="0"/>
  </r>
  <r>
    <d v="2023-04-01T00:00:00"/>
    <s v="ENERGISA"/>
    <s v="ENERGISA AC"/>
    <s v="ENERGISA ACRE - DISTRIBUIDORA DE ENERGIA S.A"/>
    <s v="04.065.033/0001-70"/>
    <s v="Mais Luz para Amazônia"/>
    <d v="2023-04-01T00:00:00"/>
    <n v="8919256.5"/>
    <n v="8919256.5"/>
    <n v="8919.2564999999995"/>
    <d v="2023-04-10T00:00:00"/>
    <s v="Pago"/>
    <s v="ECM 008/2022"/>
    <s v="1ª Tranche"/>
    <s v="4ª"/>
    <s v="AC"/>
    <s v="Liberações"/>
    <n v="0"/>
    <n v="0"/>
    <n v="0"/>
    <n v="0"/>
    <n v="0"/>
    <s v="MLA"/>
    <n v="0"/>
    <n v="0"/>
    <n v="0"/>
  </r>
  <r>
    <d v="2023-06-01T00:00:00"/>
    <s v="ENERGISA"/>
    <s v="ENERGISA AC"/>
    <s v="ENERGISA ACRE - DISTRIBUIDORA DE ENERGIA S.A"/>
    <s v="04.065.033/0001-70"/>
    <s v="Mais Luz para Amazônia"/>
    <d v="2023-06-01T00:00:00"/>
    <n v="5946171"/>
    <n v="5946171"/>
    <n v="5946.1710000000003"/>
    <d v="2023-06-30T00:00:00"/>
    <s v="Pago"/>
    <s v="ECM 008/2022"/>
    <s v="1ª Tranche"/>
    <s v="5ª"/>
    <s v="AC"/>
    <s v="Liberações"/>
    <n v="0"/>
    <n v="0"/>
    <n v="0"/>
    <n v="0"/>
    <n v="0"/>
    <s v="MLA"/>
    <n v="0"/>
    <n v="0"/>
    <n v="0"/>
  </r>
  <r>
    <d v="2024-06-01T00:00:00"/>
    <s v="ENERGISA"/>
    <s v="ENERGISA AC"/>
    <s v="ENERGISA ACRE - DISTRIBUIDORA DE ENERGIA S.A"/>
    <s v="04.065.033/0001-70"/>
    <s v="Mais Luz para Amazônia"/>
    <d v="2024-06-01T00:00:00"/>
    <n v="2383554.65"/>
    <n v="2383554.65"/>
    <n v="2383.55465"/>
    <d v="2024-06-21T00:00:00"/>
    <s v="Pago"/>
    <s v="ECM 008/2022"/>
    <s v="1ª Tranche"/>
    <s v="parcela final"/>
    <s v="AC"/>
    <s v="Liberações"/>
    <n v="0"/>
    <n v="0"/>
    <n v="0"/>
    <n v="0"/>
    <n v="0"/>
    <s v="MLA"/>
    <n v="0"/>
    <n v="0"/>
    <n v="0"/>
  </r>
  <r>
    <d v="2022-09-01T00:00:00"/>
    <s v="ENERGISA"/>
    <s v="ENERGISA MT"/>
    <s v="CENTRAIS ELETRICAS BRASILEIRAS SA ELETROBRAS"/>
    <s v="00.001.180/0002-07"/>
    <s v="Mais Luz para Amazônia"/>
    <d v="2022-09-01T00:00:00"/>
    <n v="186294.1"/>
    <n v="186294.1"/>
    <n v="186.29410000000001"/>
    <d v="2022-09-09T00:00:00"/>
    <s v="Pago"/>
    <s v="ECM 009/2022"/>
    <s v="1ª Tranche"/>
    <s v="1ª"/>
    <s v="MT"/>
    <s v="Liberações"/>
    <n v="18629410"/>
    <n v="18629.41"/>
    <n v="16766470"/>
    <n v="16766.47"/>
    <n v="0.90000005367856528"/>
    <s v="MLA"/>
    <n v="-1894623.01"/>
    <n v="-1894.62301"/>
    <n v="-0.11300070974987579"/>
  </r>
  <r>
    <d v="2022-09-01T00:00:00"/>
    <s v="ENERGISA"/>
    <s v="ENERGISA MT"/>
    <s v="ENERGISA MATO GROSSO - DISTRIBUIDORA DE ENERGIA S.A."/>
    <s v="03.467.321/0001-99"/>
    <s v="Mais Luz para Amazônia"/>
    <d v="2022-09-01T00:00:00"/>
    <n v="4843646.9000000004"/>
    <n v="4843646.9000000004"/>
    <n v="4843.6469000000006"/>
    <d v="2022-09-09T00:00:00"/>
    <s v="Pago"/>
    <s v="ECM 009/2022"/>
    <s v="1ª Tranche"/>
    <s v="1ª"/>
    <s v="MT"/>
    <s v="Liberações"/>
    <n v="0"/>
    <n v="0"/>
    <n v="0"/>
    <n v="0"/>
    <n v="0"/>
    <s v="MLA"/>
    <n v="0"/>
    <n v="0"/>
    <n v="0"/>
  </r>
  <r>
    <d v="2022-10-01T00:00:00"/>
    <s v="ENERGISA"/>
    <s v="ENERGISA MT"/>
    <s v="ENERGISA MATO GROSSO - DISTRIBUIDORA DE ENERGIA S.A."/>
    <s v="03.467.321/0001-99"/>
    <s v="Mais Luz para Amazônia"/>
    <d v="2022-10-01T00:00:00"/>
    <n v="3353294"/>
    <n v="3353294"/>
    <n v="3353.2939999999999"/>
    <d v="2022-10-31T00:00:00"/>
    <s v="Pago"/>
    <s v="ECM 009/2022"/>
    <s v="1ª Tranche"/>
    <s v="2ª "/>
    <s v="MT"/>
    <s v="Liberações"/>
    <n v="0"/>
    <n v="0"/>
    <n v="0"/>
    <n v="0"/>
    <n v="0"/>
    <s v="MLA"/>
    <n v="0"/>
    <n v="0"/>
    <n v="0"/>
  </r>
  <r>
    <d v="2023-03-01T00:00:00"/>
    <s v="ENERGISA"/>
    <s v="ENERGISA MT"/>
    <s v="ENERGISA MATO GROSSO - DISTRIBUIDORA DE ENERGIA S.A."/>
    <s v="03.467.321/0001-99"/>
    <s v="Mais Luz para Amazônia"/>
    <d v="2023-03-01T00:00:00"/>
    <n v="2514970.5"/>
    <n v="2514970.5"/>
    <n v="2514.9704999999999"/>
    <d v="2023-03-14T00:00:00"/>
    <s v="Pago"/>
    <s v="ECM 009/2022"/>
    <s v="1ª Tranche"/>
    <s v="3ª "/>
    <s v="MT"/>
    <s v="Liberações"/>
    <n v="0"/>
    <n v="0"/>
    <n v="0"/>
    <n v="0"/>
    <n v="0"/>
    <s v="MLA"/>
    <n v="0"/>
    <n v="0"/>
    <n v="0"/>
  </r>
  <r>
    <d v="2023-11-01T00:00:00"/>
    <s v="ENERGISA"/>
    <s v="ENERGISA MT"/>
    <s v="ENERGISA MATO GROSSO - DISTRIBUIDORA DE ENERGIA S.A."/>
    <s v="03.467.321/0001-99"/>
    <s v="Mais Luz para Amazônia"/>
    <d v="2023-11-28T00:00:00"/>
    <n v="2514970.5"/>
    <n v="2514970.5"/>
    <n v="2514.9704999999999"/>
    <d v="2023-11-30T00:00:00"/>
    <s v="Pago"/>
    <s v="ECM 009/2022"/>
    <s v="1ª Tranche"/>
    <s v="4ª"/>
    <s v="MT"/>
    <s v="Liberações"/>
    <n v="0"/>
    <n v="0"/>
    <n v="0"/>
    <n v="0"/>
    <n v="0"/>
    <s v="MLA"/>
    <n v="0"/>
    <n v="0"/>
    <n v="0"/>
  </r>
  <r>
    <d v="2022-06-01T00:00:00"/>
    <s v="ENERGISA"/>
    <s v="ENERGISA TO"/>
    <s v="CENTRAIS ELETRICAS BRASILEIRAS SA ELETROBRAS"/>
    <s v="00.001.180/0002-07"/>
    <s v="Mais Luz para Amazônia"/>
    <d v="2022-06-01T00:00:00"/>
    <n v="248974.9"/>
    <n v="248974.9"/>
    <n v="248.97489999999999"/>
    <d v="2022-06-13T00:00:00"/>
    <s v="Pago"/>
    <s v="ECM 010/2022"/>
    <s v="1ª Tranche"/>
    <s v="1ª"/>
    <s v="TO"/>
    <s v="Liberações"/>
    <n v="24897490"/>
    <n v="24897.49"/>
    <n v="22407740"/>
    <n v="22407.74"/>
    <n v="0.89999995983530867"/>
    <s v="MLA"/>
    <n v="-1656940.51"/>
    <n v="-1656.9405099999999"/>
    <n v="-7.3945007841040647E-2"/>
  </r>
  <r>
    <d v="2022-06-01T00:00:00"/>
    <s v="ENERGISA"/>
    <s v="ENERGISA TO"/>
    <s v="ENERGISA TOCANTINS DISTRIBUIDORA DE ENERGIA S.A."/>
    <s v="25.086.034/0001-71"/>
    <s v="Mais Luz para Amazônia"/>
    <d v="2022-06-01T00:00:00"/>
    <n v="6473347.0999999996"/>
    <n v="6473347.0999999996"/>
    <n v="6473.3471"/>
    <d v="2022-06-13T00:00:00"/>
    <s v="Pago"/>
    <s v="ECM 010/2022"/>
    <s v="1ª Tranche"/>
    <s v="1ª"/>
    <s v="TO"/>
    <s v="Liberações"/>
    <n v="0"/>
    <n v="0"/>
    <n v="0"/>
    <n v="0"/>
    <n v="0"/>
    <s v="MLA"/>
    <n v="0"/>
    <n v="0"/>
    <n v="0"/>
  </r>
  <r>
    <d v="2023-01-01T00:00:00"/>
    <s v="ENERGISA"/>
    <s v="ENERGISA TO"/>
    <s v="ENERGISA TOCANTINS DISTRIBUIDORA DE ENERGIA S.A."/>
    <s v="25.086.034/0001-71"/>
    <s v="Mais Luz para Amazônia"/>
    <d v="2023-01-01T00:00:00"/>
    <n v="4481548"/>
    <n v="4481548"/>
    <n v="4481.5479999999998"/>
    <d v="2023-01-16T00:00:00"/>
    <s v="Pago"/>
    <s v="ECM 010/2022"/>
    <s v="1ª Tranche"/>
    <s v="2ª "/>
    <s v="TO"/>
    <s v="Liberações"/>
    <n v="0"/>
    <n v="0"/>
    <n v="0"/>
    <n v="0"/>
    <n v="0"/>
    <s v="MLA"/>
    <n v="0"/>
    <n v="0"/>
    <n v="0"/>
  </r>
  <r>
    <d v="2023-03-01T00:00:00"/>
    <s v="ENERGISA"/>
    <s v="ENERGISA TO"/>
    <s v="ENERGISA TOCANTINS DISTRIBUIDORA DE ENERGIA S.A."/>
    <s v="25.086.034/0001-71"/>
    <s v="Mais Luz para Amazônia"/>
    <d v="2023-03-01T00:00:00"/>
    <n v="3361161"/>
    <n v="3361161"/>
    <n v="3361.1610000000001"/>
    <d v="2023-03-03T00:00:00"/>
    <s v="Pago"/>
    <s v="ECM 010/2022"/>
    <s v="1ª Tranche"/>
    <s v="3ª "/>
    <s v="TO"/>
    <s v="Liberações"/>
    <n v="0"/>
    <n v="0"/>
    <n v="0"/>
    <n v="0"/>
    <n v="0"/>
    <s v="MLA"/>
    <n v="0"/>
    <n v="0"/>
    <n v="0"/>
  </r>
  <r>
    <d v="2023-04-01T00:00:00"/>
    <s v="ENERGISA"/>
    <s v="ENERGISA TO"/>
    <s v="ENERGISA TOCANTINS DISTRIBUIDORA DE ENERGIA S.A."/>
    <s v="25.086.034/0001-71"/>
    <s v="Mais Luz para Amazônia"/>
    <d v="2023-04-01T00:00:00"/>
    <n v="3361161"/>
    <n v="3361161"/>
    <n v="3361.1610000000001"/>
    <d v="2023-04-14T00:00:00"/>
    <s v="Pago"/>
    <s v="ECM 010/2022"/>
    <s v="1ª Tranche"/>
    <s v="4ª"/>
    <s v="TO"/>
    <s v="Liberações"/>
    <n v="0"/>
    <n v="0"/>
    <n v="0"/>
    <n v="0"/>
    <n v="0"/>
    <s v="MLA"/>
    <n v="0"/>
    <n v="0"/>
    <n v="0"/>
  </r>
  <r>
    <d v="2023-09-01T00:00:00"/>
    <s v="ENERGISA"/>
    <s v="ENERGISA TO"/>
    <s v="ENERGISA TOCANTINS DISTRIBUIDORA DE ENERGIA S.A."/>
    <s v="25.086.034/0001-71"/>
    <s v="Mais Luz para Amazônia"/>
    <d v="2023-09-06T00:00:00"/>
    <n v="2240774"/>
    <n v="2240774"/>
    <n v="2240.7739999999999"/>
    <d v="2023-09-22T00:00:00"/>
    <s v="Pago"/>
    <s v="ECM 010/2022"/>
    <s v="1ª Tranche"/>
    <s v="5ª"/>
    <s v="TO"/>
    <s v="Liberações"/>
    <n v="0"/>
    <n v="0"/>
    <n v="0"/>
    <n v="0"/>
    <n v="0"/>
    <s v="MLA"/>
    <n v="0"/>
    <n v="0"/>
    <n v="0"/>
  </r>
  <r>
    <d v="2022-06-01T00:00:00"/>
    <s v="EQUATORIAL"/>
    <s v="EQUATORIAL PARÁ"/>
    <s v="CENTRAIS ELETRICAS BRASILEIRAS SA ELETROBRAS"/>
    <s v="00.001.180/0002-07"/>
    <s v="Mais Luz para Amazônia"/>
    <d v="2022-06-01T00:00:00"/>
    <n v="2244084.7999999998"/>
    <n v="2244084.7999999998"/>
    <n v="2244.0847999999996"/>
    <d v="2022-06-24T00:00:00"/>
    <s v="Pago"/>
    <s v="ECM 011/2022"/>
    <s v="3ª Tranche"/>
    <s v="1ª"/>
    <s v="PA"/>
    <s v="Liberações"/>
    <n v="224408480"/>
    <n v="224408.48"/>
    <n v="201967630"/>
    <n v="201967.63"/>
    <n v="0.89999999108768081"/>
    <s v="MLA"/>
    <n v="-5030960.41"/>
    <n v="-5030.9604100000006"/>
    <n v="-1.9770897643350074E-2"/>
  </r>
  <r>
    <d v="2022-06-01T00:00:00"/>
    <s v="EQUATORIAL"/>
    <s v="EQUATORIAL PARÁ"/>
    <s v="EQUATORIAL PARA DISTRIBUIDORA DE ENERGIA S.A."/>
    <s v="04.895.728/0001-80"/>
    <s v="Mais Luz para Amazônia"/>
    <d v="2022-06-01T00:00:00"/>
    <n v="58346204.200000003"/>
    <n v="58346204.200000003"/>
    <n v="58346.2042"/>
    <d v="2022-06-24T00:00:00"/>
    <s v="Pago"/>
    <s v="ECM 011/2022"/>
    <s v="3ª Tranche"/>
    <s v="1ª"/>
    <s v="PA"/>
    <s v="Liberações"/>
    <n v="0"/>
    <n v="0"/>
    <n v="0"/>
    <n v="0"/>
    <n v="0"/>
    <s v="MLA"/>
    <n v="0"/>
    <n v="0"/>
    <n v="0"/>
  </r>
  <r>
    <d v="2023-05-01T00:00:00"/>
    <s v="EQUATORIAL"/>
    <s v="EQUATORIAL PARÁ"/>
    <s v="EQUATORIAL PARA DISTRIBUIDORA DE ENERGIA S.A."/>
    <s v="04.895.728/0001-80"/>
    <s v="Mais Luz para Amazônia"/>
    <d v="2023-05-01T00:00:00"/>
    <n v="35344335.25"/>
    <n v="35344335.25"/>
    <n v="35344.335249999996"/>
    <d v="2023-05-15T00:00:00"/>
    <s v="Pago"/>
    <s v="ECM 011/2022"/>
    <s v="3ª Tranche"/>
    <s v="2ª"/>
    <s v="PA"/>
    <s v="Liberações"/>
    <n v="0"/>
    <n v="0"/>
    <n v="0"/>
    <n v="0"/>
    <n v="0"/>
    <s v="MLA"/>
    <n v="0"/>
    <n v="0"/>
    <n v="0"/>
  </r>
  <r>
    <d v="2023-05-01T00:00:00"/>
    <s v="EQUATORIAL"/>
    <s v="EQUATORIAL PARÁ"/>
    <s v="EQUATORIAL PARA DISTRIBUIDORA DE ENERGIA S.A."/>
    <s v="04.895.728/0001-80"/>
    <s v="Mais Luz para Amazônia"/>
    <d v="2023-05-01T00:00:00"/>
    <n v="35344335.25"/>
    <n v="35344335.25"/>
    <n v="35344.335249999996"/>
    <d v="2023-05-15T00:00:00"/>
    <s v="Pago"/>
    <s v="ECM 011/2022"/>
    <s v="3ª Tranche"/>
    <s v="3ª"/>
    <s v="PA"/>
    <s v="Liberações"/>
    <n v="0"/>
    <n v="0"/>
    <n v="0"/>
    <n v="0"/>
    <n v="0"/>
    <s v="MLA"/>
    <n v="0"/>
    <n v="0"/>
    <n v="0"/>
  </r>
  <r>
    <d v="2023-10-01T00:00:00"/>
    <s v="EQUATORIAL"/>
    <s v="EQUATORIAL PARÁ"/>
    <s v="EQUATORIAL PARA DISTRIBUIDORA DE ENERGIA S.A."/>
    <s v="04.895.728/0001-80"/>
    <s v="Mais Luz para Amazônia"/>
    <d v="2023-10-02T00:00:00"/>
    <n v="30295144.5"/>
    <n v="30295144.5"/>
    <n v="30295.144499999999"/>
    <d v="2023-10-27T00:00:00"/>
    <s v="Pago"/>
    <s v="ECM 011/2022"/>
    <s v="3ª Tranche"/>
    <s v="4ª"/>
    <s v="PA"/>
    <s v="Liberações"/>
    <n v="0"/>
    <n v="0"/>
    <n v="0"/>
    <n v="0"/>
    <n v="0"/>
    <s v="MLA"/>
    <n v="0"/>
    <n v="0"/>
    <n v="0"/>
  </r>
  <r>
    <d v="2023-10-01T00:00:00"/>
    <s v="EQUATORIAL"/>
    <s v="EQUATORIAL PARÁ"/>
    <s v="EQUATORIAL PARA DISTRIBUIDORA DE ENERGIA S.A."/>
    <s v="04.895.728/0001-80"/>
    <s v="Mais Luz para Amazônia"/>
    <d v="2023-10-02T00:00:00"/>
    <n v="20196763"/>
    <n v="20196763"/>
    <n v="20196.762999999999"/>
    <d v="2023-10-27T00:00:00"/>
    <s v="Pago"/>
    <s v="ECM 011/2022"/>
    <s v="3ª Tranche"/>
    <s v="5ª"/>
    <s v="PA"/>
    <s v="Liberações"/>
    <n v="0"/>
    <n v="0"/>
    <n v="0"/>
    <n v="0"/>
    <n v="0"/>
    <s v="MLA"/>
    <n v="0"/>
    <n v="0"/>
    <n v="0"/>
  </r>
  <r>
    <d v="2023-04-01T00:00:00"/>
    <s v="EQUATORIAL"/>
    <s v="EQUATORIAL AMAPÁ"/>
    <s v="COMPANHIA DE ELETRICIDADE DO AMAPA CEA"/>
    <s v="05.965.546/0001-09"/>
    <s v="Mais Luz para Amazônia"/>
    <d v="2023-04-01T00:00:00"/>
    <n v="26608758.300000001"/>
    <n v="26608758.300000001"/>
    <n v="26608.758300000001"/>
    <d v="2023-04-14T00:00:00"/>
    <s v="Pago"/>
    <s v="ECM 012/2023"/>
    <s v="1ª Tranche"/>
    <s v="1ª"/>
    <s v="AP"/>
    <s v="Liberações"/>
    <n v="102341370"/>
    <n v="102341.37"/>
    <n v="92107240"/>
    <n v="92107.24"/>
    <n v="0.90000006839853719"/>
    <s v="MLA"/>
    <n v="-19081341.760000002"/>
    <n v="-19081.341760000003"/>
    <n v="-0.20716440705421205"/>
  </r>
  <r>
    <d v="2023-12-01T00:00:00"/>
    <s v="EQUATORIAL"/>
    <s v="EQUATORIAL AMAPÁ"/>
    <s v="COMPANHIA DE ELETRICIDADE DO AMAPA CEA"/>
    <s v="05.965.546/0001-09"/>
    <s v="Mais Luz para Amazônia"/>
    <d v="2023-12-01T00:00:00"/>
    <n v="18421448"/>
    <n v="18421448"/>
    <n v="18421.448"/>
    <d v="2023-12-14T00:00:00"/>
    <s v="Pago"/>
    <s v="ECM 012/2023"/>
    <s v="1ª Tranche"/>
    <s v="2ª"/>
    <s v="AP"/>
    <s v="Liberações"/>
    <n v="0"/>
    <n v="0"/>
    <n v="0"/>
    <n v="0"/>
    <n v="0"/>
    <s v="MLA"/>
    <n v="0"/>
    <n v="0"/>
    <n v="0"/>
  </r>
  <r>
    <d v="2023-04-01T00:00:00"/>
    <s v="EQUATORIAL"/>
    <s v="EQUATORIAL AMAPÁ"/>
    <s v="CENTRAIS ELETRICAS BRASILEIRAS SA ELETROBRAS"/>
    <s v="00.001.180/0002-07"/>
    <s v="Mais Luz para Amazônia"/>
    <d v="2023-04-01T00:00:00"/>
    <n v="1023413.7"/>
    <n v="1023413.7"/>
    <n v="1023.4136999999999"/>
    <d v="2023-04-14T00:00:00"/>
    <s v="Pago"/>
    <s v="ECM 012/2023"/>
    <s v="1ª Tranche"/>
    <s v="1ª"/>
    <s v="AP"/>
    <s v="Liberações"/>
    <n v="0"/>
    <n v="0"/>
    <n v="0"/>
    <n v="0"/>
    <n v="0"/>
    <s v="MLA"/>
    <n v="0"/>
    <n v="0"/>
    <n v="0"/>
  </r>
  <r>
    <d v="2024-02-01T00:00:00"/>
    <s v="EQUATORIAL"/>
    <s v="EQUATORIAL AMAPÁ"/>
    <s v="COMPANHIA DE ELETRICIDADE DO AMAPA CEA"/>
    <s v="05.965.546/0001-09"/>
    <s v="Mais Luz para Amazônia"/>
    <d v="2024-02-01T00:00:00"/>
    <n v="13816086"/>
    <n v="13816086"/>
    <n v="13816.085999999999"/>
    <d v="2024-02-09T00:00:00"/>
    <s v="Pago"/>
    <s v="ECM 012/2023"/>
    <s v="1ª Tranche"/>
    <s v="3ª"/>
    <s v="AP"/>
    <s v="Liberações"/>
    <n v="0"/>
    <n v="0"/>
    <n v="0"/>
    <n v="0"/>
    <n v="0"/>
    <s v="MLA"/>
    <n v="0"/>
    <n v="0"/>
    <n v="0"/>
  </r>
  <r>
    <d v="2024-03-01T00:00:00"/>
    <s v="EQUATORIAL"/>
    <s v="EQUATORIAL AMAPÁ"/>
    <s v="COMPANHIA DE ELETRICIDADE DO AMAPA CEA"/>
    <s v="05.965.546/0001-09"/>
    <s v="Mais Luz para Amazônia"/>
    <d v="2024-03-01T00:00:00"/>
    <n v="13816086"/>
    <n v="13816086"/>
    <n v="13816.085999999999"/>
    <d v="2024-03-28T00:00:00"/>
    <s v="Pago"/>
    <s v="ECM 012/2023"/>
    <s v="1ª Tranche"/>
    <s v="4ª"/>
    <s v="AP"/>
    <s v="Liberações"/>
    <n v="0"/>
    <n v="0"/>
    <n v="0"/>
    <n v="0"/>
    <n v="0"/>
    <s v="MLA"/>
    <n v="0"/>
    <n v="0"/>
    <n v="0"/>
  </r>
  <r>
    <d v="2024-05-01T00:00:00"/>
    <s v="EQUATORIAL"/>
    <s v="EQUATORIAL AMAPÁ"/>
    <s v="COMPANHIA DE ELETRICIDADE DO AMAPA CEA"/>
    <s v="05.965.546/0001-09"/>
    <s v="Mais Luz para Amazônia"/>
    <d v="2024-05-01T00:00:00"/>
    <n v="9210724"/>
    <n v="9210724"/>
    <n v="9210.7240000000002"/>
    <d v="2024-05-09T00:00:00"/>
    <s v="Pago"/>
    <s v="ECM 012/2023"/>
    <s v="1ª Tranche"/>
    <s v="5ª"/>
    <s v="AP"/>
    <s v="Liberações"/>
    <n v="0"/>
    <n v="0"/>
    <n v="0"/>
    <n v="0"/>
    <n v="0"/>
    <s v="MLA"/>
    <n v="0"/>
    <n v="0"/>
    <n v="0"/>
  </r>
  <r>
    <d v="2023-04-01T00:00:00"/>
    <s v="EQUATORIAL"/>
    <s v="EQUATORIAL PARÁ"/>
    <s v="CENTRAIS ELETRICAS BRASILEIRAS SA ELETROBRAS"/>
    <s v="00.001.180/0002-07"/>
    <s v="Mais Luz para Amazônia"/>
    <d v="2023-04-01T00:00:00"/>
    <n v="8340639.5999999996"/>
    <n v="8340639.5999999996"/>
    <n v="8340.6396000000004"/>
    <d v="2023-04-14T00:00:00"/>
    <s v="Pago"/>
    <s v="ECM 013/2023"/>
    <s v="4ª Tranche"/>
    <s v="1ª"/>
    <s v="PA"/>
    <s v="Liberações"/>
    <n v="834063960"/>
    <n v="834063.96"/>
    <n v="750657560"/>
    <n v="750657.56"/>
    <n v="0.89999999520420471"/>
    <s v="MLA"/>
    <n v="-57486837.799999997"/>
    <n v="-57486.837799999994"/>
    <n v="-7.6581974076168624E-2"/>
  </r>
  <r>
    <d v="2023-04-01T00:00:00"/>
    <s v="EQUATORIAL"/>
    <s v="EQUATORIAL PARÁ"/>
    <s v="EQUATORIAL PARA DISTRIBUIDORA DE ENERGIA S.A."/>
    <s v="04.895.728/0001-80"/>
    <s v="Mais Luz para Amazônia"/>
    <d v="2023-04-01T00:00:00"/>
    <n v="216856628.40000001"/>
    <n v="216856628.40000001"/>
    <n v="216856.62840000002"/>
    <d v="2023-04-14T00:00:00"/>
    <s v="Pago"/>
    <s v="ECM 013/2023"/>
    <s v="4ª Tranche"/>
    <s v="1ª"/>
    <s v="PA"/>
    <s v="Liberações"/>
    <n v="0"/>
    <n v="0"/>
    <n v="0"/>
    <n v="0"/>
    <n v="0"/>
    <s v="MLA"/>
    <n v="0"/>
    <n v="0"/>
    <n v="0"/>
  </r>
  <r>
    <d v="2023-11-01T00:00:00"/>
    <s v="EQUATORIAL"/>
    <s v="EQUATORIAL PARÁ"/>
    <s v="EQUATORIAL PARA DISTRIBUIDORA DE ENERGIA S.A."/>
    <s v="04.895.728/0001-80"/>
    <s v="Mais Luz para Amazônia"/>
    <d v="2023-11-29T00:00:00"/>
    <n v="150131512"/>
    <n v="150131512"/>
    <n v="150131.51199999999"/>
    <d v="2023-11-24T00:00:00"/>
    <s v="Pago"/>
    <s v="ECM 013/2023"/>
    <s v="4ª Tranche"/>
    <s v="2ª"/>
    <s v="PA"/>
    <s v="Liberações"/>
    <n v="0"/>
    <n v="0"/>
    <n v="0"/>
    <n v="0"/>
    <n v="0"/>
    <s v="MLA"/>
    <n v="0"/>
    <n v="0"/>
    <n v="0"/>
  </r>
  <r>
    <d v="2024-01-01T00:00:00"/>
    <s v="EQUATORIAL"/>
    <s v="EQUATORIAL PARÁ"/>
    <s v="EQUATORIAL PARA DISTRIBUIDORA DE ENERGIA S.A."/>
    <s v="04.895.728/0001-80"/>
    <s v="Mais Luz para Amazônia"/>
    <d v="2023-12-02T00:00:00"/>
    <n v="112598634"/>
    <n v="112598634"/>
    <n v="112598.63400000001"/>
    <d v="2024-01-05T00:00:00"/>
    <s v="Pago"/>
    <s v="ECM 013/2023"/>
    <s v="4ª Tranche"/>
    <s v="3ª"/>
    <s v="PA"/>
    <s v="Liberações"/>
    <n v="0"/>
    <n v="0"/>
    <n v="0"/>
    <n v="0"/>
    <n v="0"/>
    <s v="MLA"/>
    <n v="0"/>
    <n v="0"/>
    <n v="0"/>
  </r>
  <r>
    <d v="2024-04-01T00:00:00"/>
    <s v="EQUATORIAL"/>
    <s v="EQUATORIAL PARÁ"/>
    <s v="EQUATORIAL PARA DISTRIBUIDORA DE ENERGIA S.A."/>
    <s v="04.895.728/0001-80"/>
    <s v="Mais Luz para Amazônia"/>
    <d v="2024-04-01T00:00:00"/>
    <n v="112598634"/>
    <n v="112598634"/>
    <n v="112598.63400000001"/>
    <d v="2024-04-30T00:00:00"/>
    <s v="Pago"/>
    <s v="ECM 013/2023"/>
    <s v="4ª Tranche"/>
    <s v="4ª"/>
    <s v="PA"/>
    <s v="Liberações"/>
    <n v="0"/>
    <n v="0"/>
    <n v="0"/>
    <n v="0"/>
    <n v="0"/>
    <s v="MLA"/>
    <n v="0"/>
    <n v="0"/>
    <n v="0"/>
  </r>
  <r>
    <d v="2024-08-01T00:00:00"/>
    <s v="EQUATORIAL"/>
    <s v="EQUATORIAL PARÁ"/>
    <s v="EQUATORIAL PARA DISTRIBUIDORA DE ENERGIA S.A."/>
    <s v="04.895.728/0001-80"/>
    <s v="Mais Luz para Amazônia"/>
    <d v="2024-08-01T00:00:00"/>
    <n v="75065756"/>
    <n v="75065756"/>
    <n v="75065.755999999994"/>
    <d v="2024-08-30T00:00:00"/>
    <s v="Pago"/>
    <s v="ECM 013/2023"/>
    <s v="4ª Tranche"/>
    <s v="5ª"/>
    <s v="PA"/>
    <s v="Liberações"/>
    <n v="0"/>
    <n v="0"/>
    <n v="0"/>
    <n v="0"/>
    <n v="0"/>
    <s v="MLA"/>
    <n v="0"/>
    <n v="0"/>
    <n v="0"/>
  </r>
  <r>
    <d v="2024-04-01T00:00:00"/>
    <s v="EQUATORIAL"/>
    <s v="EQUATORIAL PARÁ"/>
    <s v="CENTRAIS ELETRICAS BRASILEIRAS SA ELETROBRAS"/>
    <s v="00.001.180/0002-07"/>
    <s v="Programa Luz para Todos"/>
    <d v="2024-04-01T00:00:00"/>
    <n v="12515883.5"/>
    <n v="12515883.5"/>
    <n v="12515.8835"/>
    <d v="2024-04-11T00:00:00"/>
    <s v="Pago"/>
    <s v="ECM 014/2024"/>
    <s v="5ª Tranche"/>
    <s v="1ª"/>
    <s v="PA"/>
    <s v="Liberações"/>
    <n v="1251588350"/>
    <n v="1251588.3500000001"/>
    <n v="1126429510"/>
    <n v="1126429.51"/>
    <n v="0.8999999960050763"/>
    <s v="MLA"/>
    <n v="0"/>
    <n v="0"/>
    <n v="0"/>
  </r>
  <r>
    <d v="2024-04-01T00:00:00"/>
    <s v="EQUATORIAL"/>
    <s v="EQUATORIAL PARÁ"/>
    <s v="EQUATORIAL PARA DISTRIBUIDORA DE ENERGIA S.A."/>
    <s v="04.895.728/0001-80"/>
    <s v="Programa Luz para Todos"/>
    <d v="2024-04-01T00:00:00"/>
    <n v="325412969.5"/>
    <n v="325412969.5"/>
    <n v="325412.96950000001"/>
    <d v="2024-04-11T00:00:00"/>
    <s v="Pago"/>
    <s v="ECM 014/2024"/>
    <s v="5ª Tranche"/>
    <s v="1ª"/>
    <s v="PA"/>
    <s v="Liberações"/>
    <n v="0"/>
    <n v="0"/>
    <n v="0"/>
    <n v="0"/>
    <n v="0"/>
    <s v="MLA"/>
    <n v="0"/>
    <n v="0"/>
    <n v="0"/>
  </r>
  <r>
    <d v="2024-11-01T00:00:00"/>
    <s v="EQUATORIAL"/>
    <s v="EQUATORIAL PARÁ"/>
    <s v="EQUATORIAL PARA DISTRIBUIDORA DE ENERGIA S.A."/>
    <s v="04.895.728/0001-80"/>
    <s v="Mais Luz para Amazônia"/>
    <d v="2024-11-01T00:00:00"/>
    <n v="225285902"/>
    <n v="225285902"/>
    <n v="225285.902"/>
    <d v="2024-11-22T00:00:00"/>
    <s v="Pago"/>
    <s v="ECM 014/2024"/>
    <s v="5ª Tranche"/>
    <s v="2ª"/>
    <s v="PA"/>
    <s v="Liberações"/>
    <n v="0"/>
    <n v="0"/>
    <n v="0"/>
    <n v="0"/>
    <n v="0"/>
    <s v="MLA"/>
    <n v="0"/>
    <n v="0"/>
    <n v="0"/>
  </r>
  <r>
    <d v="2025-07-01T00:00:00"/>
    <s v="EQUATORIAL"/>
    <s v="EQUATORIAL PARÁ"/>
    <s v="EQUATORIAL PARA DISTRIBUIDORA DE ENERGIA S.A."/>
    <s v="04.895.728/0001-80"/>
    <s v="Mais Luz para Amazônia"/>
    <d v="2025-07-26T00:00:00"/>
    <n v="168964426.5"/>
    <n v="168964426.5"/>
    <n v="168964.4265"/>
    <d v="2025-07-11T00:00:00"/>
    <s v="Pago"/>
    <s v="ECM 014/2024"/>
    <s v="5ª Tranche"/>
    <s v="2ª"/>
    <s v="PA"/>
    <s v="Liberações"/>
    <n v="0"/>
    <n v="0"/>
    <n v="0"/>
    <n v="0"/>
    <n v="0"/>
    <s v="MLA"/>
    <n v="0"/>
    <n v="0"/>
    <n v="0"/>
  </r>
  <r>
    <d v="2025-12-01T00:00:00"/>
    <s v="EQUATORIAL"/>
    <s v="EQUATORIAL PARÁ"/>
    <s v="EQUATORIAL PARA DISTRIBUIDORA DE ENERGIA S.A."/>
    <s v="04.895.728/0001-80"/>
    <s v="Programa Luz para Todos"/>
    <d v="2025-12-01T00:00:00"/>
    <n v="168964426.5"/>
    <n v="168964426.5"/>
    <n v="168964.4265"/>
    <d v="2025-12-11T00:00:00"/>
    <s v="Pago"/>
    <s v="ECM 014/2024"/>
    <s v="5ª Tranche"/>
    <s v="4ª"/>
    <s v="PA"/>
    <s v="Liberações"/>
    <n v="0"/>
    <n v="0"/>
    <n v="0"/>
    <n v="0"/>
    <n v="0"/>
    <s v="MLA"/>
    <n v="0"/>
    <n v="0"/>
    <n v="0"/>
  </r>
  <r>
    <d v="2024-05-01T00:00:00"/>
    <s v="ENERGISA"/>
    <s v="ENERGISA RO"/>
    <s v="CENTRAIS ELETRICAS BRASILEIRAS SA ELETROBRAS"/>
    <s v="00.001.180/0002-07"/>
    <s v="Programa Luz para Todos"/>
    <d v="2024-04-01T00:00:00"/>
    <n v="382444.2"/>
    <n v="382444.2"/>
    <n v="382.44420000000002"/>
    <d v="2024-05-09T00:00:00"/>
    <s v="Pago"/>
    <s v="ECM 015/2024"/>
    <s v="2ª Tranche"/>
    <s v="1ª"/>
    <s v="RO"/>
    <s v="Liberações"/>
    <n v="38244420"/>
    <n v="38244.42"/>
    <n v="34419980"/>
    <n v="34419.980000000003"/>
    <n v="0.90000005229521063"/>
    <s v="MLA"/>
    <n v="0"/>
    <n v="0"/>
    <n v="1E-4"/>
  </r>
  <r>
    <d v="2024-05-01T00:00:00"/>
    <s v="ENERGISA"/>
    <s v="ENERGISA RO"/>
    <s v="ENERGISA RONDONIA - DISTRIBUIDORA DE ENERGIA S.A"/>
    <s v="05.914.650/0001-66"/>
    <s v="Programa Luz para Todos"/>
    <d v="2024-04-01T00:00:00"/>
    <n v="9943549.8000000007"/>
    <n v="9943549.8000000007"/>
    <n v="9943.5498000000007"/>
    <d v="2024-05-09T00:00:00"/>
    <s v="Pago"/>
    <s v="ECM 015/2024"/>
    <s v="2ª Tranche"/>
    <s v="1ª"/>
    <s v="RO"/>
    <s v="Liberações"/>
    <n v="0"/>
    <n v="0"/>
    <n v="0"/>
    <n v="0"/>
    <n v="0"/>
    <s v="MLA"/>
    <n v="0"/>
    <n v="0"/>
    <n v="0"/>
  </r>
  <r>
    <d v="2024-08-01T00:00:00"/>
    <s v="ENERGISA"/>
    <s v="ENERGISA RO"/>
    <s v="ENERGISA RONDONIA - DISTRIBUIDORA DE ENERGIA S.A"/>
    <s v="05.914.650/0001-66"/>
    <s v="Mais Luz para Amazônia"/>
    <d v="2024-08-01T00:00:00"/>
    <n v="6883996"/>
    <n v="6883996"/>
    <n v="6883.9960000000001"/>
    <d v="2024-08-30T00:00:00"/>
    <s v="Pago"/>
    <s v="ECM 015/2024"/>
    <s v="2ª Tranche"/>
    <s v="2ª"/>
    <s v="RO"/>
    <s v="Liberações"/>
    <n v="0"/>
    <n v="0"/>
    <n v="0"/>
    <n v="0"/>
    <n v="0"/>
    <s v="MLA"/>
    <n v="0"/>
    <n v="0"/>
    <n v="0"/>
  </r>
  <r>
    <d v="2024-08-01T00:00:00"/>
    <s v="ENERGISA"/>
    <s v="ENERGISA RO"/>
    <s v="ENERGISA RONDONIA - DISTRIBUIDORA DE ENERGIA S.A"/>
    <s v="05.914.650/0001-66"/>
    <s v="Mais Luz para Amazônia"/>
    <d v="2024-08-01T00:00:00"/>
    <n v="5162997"/>
    <n v="5162997"/>
    <n v="5162.9970000000003"/>
    <d v="2024-08-30T00:00:00"/>
    <s v="Pago"/>
    <s v="ECM 015/2024"/>
    <s v="2ª Tranche"/>
    <s v="3ª"/>
    <s v="RO"/>
    <s v="Liberações"/>
    <n v="0"/>
    <n v="0"/>
    <n v="0"/>
    <n v="0"/>
    <n v="0"/>
    <s v="MLA"/>
    <n v="0"/>
    <n v="0"/>
    <n v="0"/>
  </r>
  <r>
    <d v="2024-08-01T00:00:00"/>
    <s v="ENERGISA"/>
    <s v="ENERGISA RO"/>
    <s v="ENERGISA RONDONIA - DISTRIBUIDORA DE ENERGIA S.A"/>
    <s v="05.914.650/0001-66"/>
    <s v="Mais Luz para Amazônia"/>
    <d v="2024-08-01T00:00:00"/>
    <n v="5162997"/>
    <n v="5162997"/>
    <n v="5162.9970000000003"/>
    <d v="2024-08-30T00:00:00"/>
    <s v="Pago"/>
    <s v="ECM 015/2024"/>
    <s v="2ª Tranche"/>
    <s v="4ª"/>
    <s v="RO"/>
    <s v="Liberações"/>
    <n v="0"/>
    <n v="0"/>
    <n v="0"/>
    <n v="0"/>
    <n v="0"/>
    <s v="MLA"/>
    <n v="0"/>
    <n v="0"/>
    <n v="0"/>
  </r>
  <r>
    <d v="2024-08-01T00:00:00"/>
    <s v="ENERGISA"/>
    <s v="ENERGISA RO"/>
    <s v="ENERGISA RONDONIA - DISTRIBUIDORA DE ENERGIA S.A"/>
    <s v="05.914.650/0001-66"/>
    <s v="Mais Luz para Amazônia"/>
    <d v="2024-08-01T00:00:00"/>
    <n v="3441998"/>
    <n v="3441998"/>
    <n v="3441.998"/>
    <d v="2024-08-30T00:00:00"/>
    <s v="Pago"/>
    <s v="ECM 015/2024"/>
    <s v="2ª Tranche"/>
    <s v="5ª"/>
    <s v="RO"/>
    <s v="Liberações"/>
    <n v="0"/>
    <n v="0"/>
    <n v="0"/>
    <n v="0"/>
    <n v="0"/>
    <s v="MLA"/>
    <n v="0"/>
    <n v="0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3408288.44"/>
    <n v="3408288.44"/>
    <n v="3408.2884399999998"/>
    <d v="2025-12-19T00:00:00"/>
    <s v="Pago"/>
    <s v="ECM 015/2024"/>
    <s v="2ª Tranche"/>
    <s v="parcela final"/>
    <s v="RO"/>
    <s v="Liberações"/>
    <n v="0"/>
    <n v="0"/>
    <n v="0"/>
    <n v="0"/>
    <n v="0"/>
    <s v="MLA"/>
    <n v="0"/>
    <n v="0"/>
    <n v="0"/>
  </r>
  <r>
    <d v="2025-09-01T00:00:00"/>
    <s v="ENERGISA"/>
    <s v="ENERGISA TO"/>
    <s v="ENERGISA TOCANTINS DISTRIBUIDORA DE ENERGIA S.A."/>
    <s v="25.086.034/0001-71"/>
    <s v="Programa Luz para Todos"/>
    <d v="2025-09-01T00:00:00"/>
    <n v="4476550"/>
    <n v="4476550"/>
    <n v="4476.55"/>
    <d v="2025-09-12T00:00:00"/>
    <s v="Pago"/>
    <s v="ECM 016/2025"/>
    <s v="2ª Tranche"/>
    <s v="1ª"/>
    <s v="TO"/>
    <s v="Liberações"/>
    <n v="17217480"/>
    <n v="17217.48"/>
    <n v="15495750"/>
    <n v="15495.75"/>
    <n v="0.90000104544915982"/>
    <s v="MLA"/>
    <n v="0"/>
    <n v="0"/>
    <n v="0"/>
  </r>
  <r>
    <d v="2025-09-01T00:00:00"/>
    <s v="ENERGISA"/>
    <s v="ENERGISA TO"/>
    <s v="EMPRESA BRASILEIRA DE PARTICIPACOES EM ENERGIA NUCLEAR E BINACIONAL S.A. - ENBPAR"/>
    <s v="43.913.162/0001-23"/>
    <s v="Programa Luz para Todos"/>
    <d v="2025-09-01T00:00:00"/>
    <n v="172174.8"/>
    <n v="172174.8"/>
    <n v="172.17479999999998"/>
    <d v="2025-09-12T00:00:00"/>
    <s v="Pago"/>
    <s v="ECM 016/2025"/>
    <s v="2ª Tranche"/>
    <s v="1ª"/>
    <s v="TO"/>
    <s v="Liberações"/>
    <n v="0"/>
    <n v="0"/>
    <n v="0"/>
    <n v="0"/>
    <n v="0"/>
    <s v="MLA"/>
    <n v="0"/>
    <n v="0"/>
    <n v="0"/>
  </r>
  <r>
    <d v="2025-10-01T00:00:00"/>
    <s v="ENERGISA"/>
    <s v="ENERGISA TO"/>
    <s v="ENERGISA TOCANTINS DISTRIBUIDORA DE ENERGIA S.A."/>
    <s v="25.086.034/0001-71"/>
    <s v="Programa Luz para Todos"/>
    <d v="2025-10-01T00:00:00"/>
    <n v="3099150"/>
    <n v="3099150"/>
    <n v="3099.15"/>
    <d v="2025-10-31T00:00:00"/>
    <s v="Pago"/>
    <s v="ECM 016/2025"/>
    <s v="2ª Tranche"/>
    <s v="2ª"/>
    <s v="TO"/>
    <s v="Liberações"/>
    <n v="0"/>
    <n v="0"/>
    <n v="0"/>
    <n v="0"/>
    <n v="0"/>
    <s v="MLA"/>
    <n v="0"/>
    <n v="0"/>
    <n v="0"/>
  </r>
  <r>
    <d v="2025-10-01T00:00:00"/>
    <s v="ENERGISA"/>
    <s v="ENERGISA TO"/>
    <s v="ENERGISA TOCANTINS DISTRIBUIDORA DE ENERGIA S.A."/>
    <s v="25.086.034/0001-71"/>
    <s v="Programa Luz para Todos"/>
    <d v="2025-10-01T00:00:00"/>
    <n v="1549575"/>
    <n v="1549575"/>
    <n v="1549.575"/>
    <d v="2025-10-31T00:00:00"/>
    <s v="Pago"/>
    <s v="ECM 016/2025"/>
    <s v="2ª Tranche"/>
    <s v="3ª"/>
    <s v="TO"/>
    <s v="Liberações"/>
    <n v="0"/>
    <n v="0"/>
    <n v="0"/>
    <n v="0"/>
    <n v="0"/>
    <s v="MLA"/>
    <n v="0"/>
    <n v="0"/>
    <n v="0"/>
  </r>
  <r>
    <d v="2025-10-01T00:00:00"/>
    <s v="ENERGISA"/>
    <s v="ENERGISA TO"/>
    <s v="ENERGISA TOCANTINS DISTRIBUIDORA DE ENERGIA S.A."/>
    <s v="25.086.034/0001-71"/>
    <s v="Programa Luz para Todos"/>
    <d v="2025-10-01T00:00:00"/>
    <n v="1549575"/>
    <n v="1549575"/>
    <n v="1549.575"/>
    <d v="2025-10-31T00:00:00"/>
    <s v="Pago"/>
    <s v="ECM 016/2025"/>
    <s v="2ª Tranche"/>
    <s v="4ª"/>
    <s v="TO"/>
    <s v="Liberações"/>
    <n v="0"/>
    <n v="0"/>
    <n v="0"/>
    <n v="0"/>
    <n v="0"/>
    <s v="MLA"/>
    <n v="0"/>
    <n v="0"/>
    <n v="0"/>
  </r>
  <r>
    <d v="2025-10-01T00:00:00"/>
    <s v="ENERGISA"/>
    <s v="ENERGISA TO"/>
    <s v="ENERGISA TOCANTINS DISTRIBUIDORA DE ENERGIA S.A."/>
    <s v="25.086.034/0001-71"/>
    <s v="Programa Luz para Todos"/>
    <d v="2025-10-01T00:00:00"/>
    <n v="1549575"/>
    <n v="1549575"/>
    <n v="1549.575"/>
    <d v="2025-10-31T00:00:00"/>
    <s v="Pago"/>
    <s v="ECM 016/2025"/>
    <s v="2ª Tranche"/>
    <s v="5ª"/>
    <s v="TO"/>
    <s v="Liberações"/>
    <n v="0"/>
    <n v="0"/>
    <n v="0"/>
    <n v="0"/>
    <n v="0"/>
    <s v="MLA"/>
    <n v="0"/>
    <n v="0"/>
    <n v="0"/>
  </r>
  <r>
    <d v="2025-12-01T00:00:00"/>
    <s v="ENERGISA"/>
    <s v="ENERGISA MT"/>
    <s v="ENERGISA MATO GROSSO - DISTRIBUIDORA DE ENERGIA S.A."/>
    <s v="03.467.321/0001-99"/>
    <s v="Programa Luz para Todos"/>
    <d v="2025-12-01T00:00:00"/>
    <n v="13062850.699999999"/>
    <n v="13062850.699999999"/>
    <n v="13062.850699999999"/>
    <d v="2025-12-19T00:00:00"/>
    <s v="Pago"/>
    <s v="ECM 017/2025"/>
    <s v="2ª Tranche"/>
    <s v="1ª"/>
    <s v="MT"/>
    <s v="Liberações"/>
    <n v="50241730"/>
    <n v="50241.73"/>
    <n v="45217560"/>
    <n v="45217.56"/>
    <n v="0.90000005971131969"/>
    <s v="MLA"/>
    <n v="0"/>
    <n v="0"/>
    <n v="0"/>
  </r>
  <r>
    <d v="2025-12-01T00:00:00"/>
    <s v="ENERGISA"/>
    <s v="ENERGISA MT"/>
    <s v="EMPRESA BRASILEIRA DE PARTICIPACOES EM ENERGIA NUCLEAR E BINACIONAL S.A. - ENBPAR"/>
    <s v="43.913.162/0001-23"/>
    <s v="Programa Luz para Todos"/>
    <d v="2025-12-01T00:00:00"/>
    <n v="502417.3"/>
    <n v="502417.3"/>
    <n v="502.41730000000001"/>
    <d v="2025-12-19T00:00:00"/>
    <s v="Pago"/>
    <s v="ECM 017/2025"/>
    <s v="2ª Tranche"/>
    <s v="1ª"/>
    <s v="MT"/>
    <s v="Liberações"/>
    <n v="0"/>
    <n v="0"/>
    <n v="0"/>
    <n v="0"/>
    <n v="0"/>
    <s v="MLA"/>
    <n v="0"/>
    <n v="0"/>
    <n v="0"/>
  </r>
  <r>
    <d v="2025-08-01T00:00:00"/>
    <s v="ENERGISA"/>
    <s v="ENERGISA AC"/>
    <s v="ENERGISA ACRE - DISTRIBUIDORA DE ENERGIA S.A"/>
    <s v="04.065.033/0001-70"/>
    <s v="Programa Luz para Todos"/>
    <d v="2025-08-01T00:00:00"/>
    <n v="26836261.100000001"/>
    <n v="26836261.100000001"/>
    <n v="26836.2611"/>
    <d v="2025-08-08T00:00:00"/>
    <s v="Pago"/>
    <s v="ECM 018/2025"/>
    <s v="2ª Tranche"/>
    <s v="1ª"/>
    <s v="AC"/>
    <s v="Liberações"/>
    <n v="103216390"/>
    <n v="103216.39"/>
    <n v="92894750"/>
    <n v="92894.75"/>
    <n v="0.89999999031161626"/>
    <s v="MLA"/>
    <n v="0"/>
    <n v="0"/>
    <n v="0"/>
  </r>
  <r>
    <d v="2025-08-01T00:00:00"/>
    <s v="ENERGISA"/>
    <s v="ENERGISA AC"/>
    <s v="EMPRESA BRASILEIRA DE PARTICIPACOES EM ENERGIA NUCLEAR E BINACIONAL S.A. - ENBPAR"/>
    <s v="43.913.162/0001-23"/>
    <s v="Programa Luz para Todos"/>
    <d v="2025-08-01T00:00:00"/>
    <n v="1032163.9"/>
    <n v="1032163.9"/>
    <n v="1032.1639"/>
    <d v="2025-08-08T00:00:00"/>
    <s v="Pago"/>
    <s v="ECM 018/2025"/>
    <s v="2ª Tranche"/>
    <s v="1ª"/>
    <s v="AC"/>
    <s v="Liberações"/>
    <n v="0"/>
    <n v="0"/>
    <n v="0"/>
    <n v="0"/>
    <n v="0"/>
    <s v="MLA"/>
    <n v="0"/>
    <n v="0"/>
    <n v="0"/>
  </r>
  <r>
    <d v="2025-10-01T00:00:00"/>
    <s v="ENERGISA"/>
    <s v="ENERGISA AC"/>
    <s v="ENERGISA ACRE - DISTRIBUIDORA DE ENERGIA S.A"/>
    <s v="04.065.033/0001-70"/>
    <s v="Programa Luz para Todos"/>
    <d v="2025-10-01T00:00:00"/>
    <n v="26836261.100000001"/>
    <n v="26836261.100000001"/>
    <n v="26836.2611"/>
    <d v="2025-10-10T00:00:00"/>
    <s v="Pago"/>
    <s v="ECM 018/2025"/>
    <s v="2ª Tranche"/>
    <s v="2ª"/>
    <s v="AC"/>
    <s v="Liberações"/>
    <n v="0"/>
    <n v="0"/>
    <n v="0"/>
    <n v="0"/>
    <n v="0"/>
    <s v="MLA"/>
    <n v="0"/>
    <n v="0"/>
    <n v="0"/>
  </r>
  <r>
    <d v="2025-10-01T00:00:00"/>
    <s v="ENERGISA"/>
    <s v="ENERGISA AC"/>
    <s v="ENERGISA ACRE - DISTRIBUIDORA DE ENERGIA S.A"/>
    <s v="04.065.033/0001-70"/>
    <s v="Programa Luz para Todos"/>
    <d v="2025-10-01T00:00:00"/>
    <n v="6537037.9699999997"/>
    <n v="6537037.9699999997"/>
    <n v="6537.0379699999994"/>
    <d v="2025-10-10T00:00:00"/>
    <s v="Pago"/>
    <s v="ECM 018/2025"/>
    <s v="2ª Tranche"/>
    <s v="3ª"/>
    <s v="AC"/>
    <s v="Liberações"/>
    <n v="0"/>
    <n v="0"/>
    <n v="0"/>
    <n v="0"/>
    <n v="0"/>
    <s v="MLA"/>
    <n v="0"/>
    <n v="0"/>
    <n v="0"/>
  </r>
  <r>
    <d v="2025-10-01T00:00:00"/>
    <s v="ENERGISA"/>
    <s v="ENERGISA AC"/>
    <s v="ENERGISA ACRE - DISTRIBUIDORA DE ENERGIA S.A"/>
    <s v="04.065.033/0001-70"/>
    <s v="Programa Luz para Todos"/>
    <d v="2025-10-01T00:00:00"/>
    <n v="6537037.9699999997"/>
    <n v="6537037.9699999997"/>
    <n v="6537.0379699999994"/>
    <d v="2025-10-10T00:00:00"/>
    <s v="Pago"/>
    <s v="ECM 018/2025"/>
    <s v="2ª Tranche"/>
    <s v="4ª"/>
    <s v="AC"/>
    <s v="Liberações"/>
    <n v="0"/>
    <n v="0"/>
    <n v="0"/>
    <n v="0"/>
    <n v="0"/>
    <s v="MLA"/>
    <n v="0"/>
    <n v="0"/>
    <n v="0"/>
  </r>
  <r>
    <d v="2025-10-01T00:00:00"/>
    <s v="ENERGISA"/>
    <s v="ENERGISA AC"/>
    <s v="ENERGISA ACRE - DISTRIBUIDORA DE ENERGIA S.A"/>
    <s v="04.065.033/0001-70"/>
    <s v="Programa Luz para Todos"/>
    <d v="2025-10-01T00:00:00"/>
    <n v="6537037.9699999997"/>
    <n v="6537037.9699999997"/>
    <n v="6537.0379699999994"/>
    <d v="2025-10-10T00:00:00"/>
    <s v="Pago"/>
    <s v="ECM 018/2025"/>
    <s v="2ª Tranche"/>
    <s v="5ª"/>
    <s v="AC"/>
    <s v="Liberações"/>
    <n v="0"/>
    <n v="0"/>
    <n v="0"/>
    <n v="0"/>
    <n v="0"/>
    <s v="MLA"/>
    <n v="0"/>
    <n v="0"/>
    <n v="0"/>
  </r>
  <r>
    <d v="2025-03-01T00:00:00"/>
    <s v="RORAIMA ENERGIA"/>
    <s v="RORAIMA ENERGIA"/>
    <s v="RORAIMA ENERGIA S.A"/>
    <s v="02.341.470/0001-44"/>
    <s v="Programa Luz para Todos"/>
    <d v="2025-02-28T00:00:00"/>
    <n v="28220284.399999999"/>
    <n v="28220284.399999999"/>
    <n v="28220.284399999997"/>
    <d v="2025-03-07T00:00:00"/>
    <s v="Pago"/>
    <s v="ECM 019/2025"/>
    <s v="2ª Tranche"/>
    <s v="1ª"/>
    <s v="RR"/>
    <s v="Liberações"/>
    <n v="108539560"/>
    <n v="108539.56"/>
    <n v="97685600"/>
    <n v="97685.6"/>
    <n v="0.89999996314707742"/>
    <s v="MLA"/>
    <n v="0"/>
    <n v="0"/>
    <n v="0"/>
  </r>
  <r>
    <d v="2025-03-01T00:00:00"/>
    <s v="RORAIMA ENERGIA"/>
    <s v="RORAIMA ENERGIA"/>
    <s v="EMPRESA BRASILEIRA DE PARTICIPACOES EM ENERGIA NUCLEAR E BINACIONAL S.A. - ENBPAR"/>
    <s v="43.913.162/0001-23"/>
    <s v="Programa Luz para Todos"/>
    <d v="2025-02-27T00:00:00"/>
    <n v="1085395.6000000001"/>
    <n v="1085395.6000000001"/>
    <n v="1085.3956000000001"/>
    <d v="2025-03-07T00:00:00"/>
    <s v="Pago"/>
    <s v="ECM 019/2025"/>
    <s v="2ª Tranche"/>
    <s v="1ª"/>
    <s v="RR"/>
    <s v="Liberações"/>
    <n v="0"/>
    <n v="0"/>
    <n v="0"/>
    <n v="0"/>
    <n v="0"/>
    <s v="MLA"/>
    <n v="0"/>
    <n v="0"/>
    <n v="0"/>
  </r>
  <r>
    <d v="2025-08-01T00:00:00"/>
    <s v="RORAIMA ENERGIA"/>
    <s v="RORAIMA ENERGIA"/>
    <s v="RORAIMA ENERGIA S.A"/>
    <s v="02.341.470/0001-44"/>
    <s v="Programa Luz para Todos"/>
    <d v="2025-08-01T00:00:00"/>
    <n v="19537120"/>
    <n v="19537120"/>
    <n v="19537.12"/>
    <d v="2025-08-08T00:00:00"/>
    <s v="Pago"/>
    <s v="ECM 019/2025"/>
    <s v="2ª Tranche"/>
    <s v="2ª"/>
    <s v="RR"/>
    <s v="Liberações"/>
    <n v="0"/>
    <n v="0"/>
    <n v="0"/>
    <n v="0"/>
    <n v="0"/>
    <s v="MLA"/>
    <n v="0"/>
    <n v="0"/>
    <n v="0"/>
  </r>
  <r>
    <d v="2025-12-01T00:00:00"/>
    <s v="RORAIMA ENERGIA"/>
    <s v="RORAIMA ENERGIA"/>
    <s v="RORAIMA ENERGIA S.A"/>
    <s v="02.341.470/0001-44"/>
    <s v="Programa Luz para Todos"/>
    <d v="2025-12-01T00:00:00"/>
    <n v="9768560"/>
    <n v="9768560"/>
    <n v="9768.56"/>
    <d v="2025-12-12T00:00:00"/>
    <s v="Pago"/>
    <s v="ECM 019/2025"/>
    <s v="2ª Tranche"/>
    <s v="3ª"/>
    <s v="RR"/>
    <s v="Liberações"/>
    <n v="0"/>
    <n v="0"/>
    <n v="0"/>
    <n v="0"/>
    <n v="0"/>
    <s v="MLA"/>
    <n v="0"/>
    <n v="0"/>
    <n v="0"/>
  </r>
  <r>
    <d v="2026-02-01T00:00:00"/>
    <s v="RORAIMA ENERGIA"/>
    <s v="RORAIMA ENERGIA"/>
    <s v="RORAIMA ENERGIA S.A"/>
    <s v="02.341.470/0001-44"/>
    <s v="Programa Luz para Todos"/>
    <d v="2026-03-01T00:00:00"/>
    <n v="9768560"/>
    <n v="9768560"/>
    <n v="9768.56"/>
    <d v="2026-03-20T00:00:00"/>
    <s v="Pago"/>
    <s v="ECM 019/2025"/>
    <s v="2ª Tranche"/>
    <s v="4ª"/>
    <s v="RR"/>
    <s v="Liberações"/>
    <n v="0"/>
    <n v="0"/>
    <n v="0"/>
    <n v="0"/>
    <n v="0"/>
    <s v="MLA"/>
    <n v="0"/>
    <n v="0"/>
    <n v="0"/>
  </r>
  <r>
    <d v="2025-09-01T00:00:00"/>
    <s v="EQUATORIAL"/>
    <s v="EQUATORIAL MARANHÃO"/>
    <s v="EQUATORIAL MARANHAO DISTRIBUIDORA DE ENERGIA S.A"/>
    <s v="06.272.793/0001-84"/>
    <s v="Programa Luz para Todos"/>
    <d v="2025-09-01T00:00:00"/>
    <n v="16383042"/>
    <n v="16383042"/>
    <n v="16383.041999999999"/>
    <d v="2025-09-12T00:00:00"/>
    <s v="Pago"/>
    <s v="ECM 020/2025"/>
    <s v="2ª Tranche"/>
    <s v="1ª"/>
    <s v="MA"/>
    <s v="Liberações"/>
    <n v="63011700"/>
    <n v="63011.7"/>
    <n v="56710530"/>
    <n v="56710.53"/>
    <n v="0.9"/>
    <s v="MLA"/>
    <n v="0"/>
    <n v="0"/>
    <n v="0"/>
  </r>
  <r>
    <d v="2025-09-01T00:00:00"/>
    <s v="EQUATORIAL"/>
    <s v="EQUATORIAL MARANHÃO"/>
    <s v="EMPRESA BRASILEIRA DE PARTICIPACOES EM ENERGIA NUCLEAR E BINACIONAL S.A. - ENBPAR"/>
    <s v="43.913.162/0001-23"/>
    <s v="Programa Luz para Todos"/>
    <d v="2025-09-01T00:00:00"/>
    <n v="630117"/>
    <n v="630117"/>
    <n v="630.11699999999996"/>
    <d v="2025-09-12T00:00:00"/>
    <s v="Pago"/>
    <s v="ECM 020/2025"/>
    <s v="2ª Tranche"/>
    <s v="1ª"/>
    <s v="MA"/>
    <s v="Liberações"/>
    <n v="0"/>
    <n v="0"/>
    <n v="0"/>
    <n v="0"/>
    <n v="0"/>
    <s v="MLA"/>
    <n v="0"/>
    <n v="0"/>
    <n v="0"/>
  </r>
  <r>
    <d v="2025-12-01T00:00:00"/>
    <s v="EQUATORIAL"/>
    <s v="EQUATORIAL MARANHÃO"/>
    <s v="EQUATORIAL MARANHAO DISTRIBUIDORA DE ENERGIA S.A"/>
    <s v="06.272.793/0001-84"/>
    <s v="Programa Luz para Todos"/>
    <d v="2025-12-01T00:00:00"/>
    <n v="11342106"/>
    <n v="11342106"/>
    <n v="11342.106"/>
    <d v="2025-12-19T00:00:00"/>
    <s v="Pago"/>
    <s v="ECM 020/2025"/>
    <s v="2ª Tranche"/>
    <s v="2ª"/>
    <s v="MA"/>
    <s v="Liberações"/>
    <n v="0"/>
    <n v="0"/>
    <n v="0"/>
    <n v="0"/>
    <n v="0"/>
    <s v="MLA"/>
    <n v="0"/>
    <n v="0"/>
    <n v="0"/>
  </r>
  <r>
    <d v="2025-12-01T00:00:00"/>
    <s v="EQUATORIAL"/>
    <s v="EQUATORIAL MARANHÃO"/>
    <s v="EQUATORIAL MARANHAO DISTRIBUIDORA DE ENERGIA S.A"/>
    <s v="06.272.793/0001-84"/>
    <s v="Programa Luz para Todos"/>
    <d v="2025-12-01T00:00:00"/>
    <n v="5671053"/>
    <n v="5671053"/>
    <n v="5671.0529999999999"/>
    <d v="2025-12-19T00:00:00"/>
    <s v="Pago"/>
    <s v="ECM 020/2025"/>
    <s v="2ª Tranche"/>
    <s v="3ª"/>
    <s v="MA"/>
    <s v="Liberações"/>
    <n v="0"/>
    <n v="0"/>
    <n v="0"/>
    <n v="0"/>
    <n v="0"/>
    <s v="MLA"/>
    <n v="0"/>
    <n v="0"/>
    <n v="0"/>
  </r>
  <r>
    <d v="2025-12-01T00:00:00"/>
    <s v="EQUATORIAL"/>
    <s v="EQUATORIAL MARANHÃO"/>
    <s v="EQUATORIAL MARANHAO DISTRIBUIDORA DE ENERGIA S.A"/>
    <s v="06.272.793/0001-84"/>
    <s v="Programa Luz para Todos"/>
    <d v="2025-12-01T00:00:00"/>
    <n v="5671053"/>
    <n v="5671053"/>
    <n v="5671.0529999999999"/>
    <d v="2025-12-19T00:00:00"/>
    <s v="Pago"/>
    <s v="ECM 020/2025"/>
    <s v="2ª Tranche"/>
    <s v="4ª"/>
    <s v="MA"/>
    <s v="Liberações"/>
    <n v="0"/>
    <n v="0"/>
    <n v="0"/>
    <n v="0"/>
    <n v="0"/>
    <s v="MLA"/>
    <n v="0"/>
    <n v="0"/>
    <n v="0"/>
  </r>
  <r>
    <d v="2025-09-01T00:00:00"/>
    <s v="EQUATORIAL"/>
    <s v="EQUATORIAL AMAPÁ"/>
    <s v="COMPANHIA DE ELETRICIDADE DO AMAPA CEA"/>
    <s v="05.965.546/0001-09"/>
    <s v="Programa Luz para Todos"/>
    <d v="2025-09-01T00:00:00"/>
    <n v="44619432.100000001"/>
    <n v="44619432.100000001"/>
    <n v="44619.432099999998"/>
    <d v="2025-09-30T00:00:00"/>
    <s v="Pago"/>
    <s v="ECM 021/2025"/>
    <s v="2ª Tranche"/>
    <s v="1ª"/>
    <s v="AP"/>
    <s v="Liberações"/>
    <n v="171613190"/>
    <n v="171613.19"/>
    <n v="154451880"/>
    <n v="154451.88"/>
    <n v="0.90000005244352144"/>
    <s v="MLA"/>
    <n v="0"/>
    <n v="0"/>
    <n v="0"/>
  </r>
  <r>
    <d v="2025-12-01T00:00:00"/>
    <s v="EQUATORIAL"/>
    <s v="EQUATORIAL AMAPÁ"/>
    <s v="COMPANHIA DE ELETRICIDADE DO AMAPA CEA"/>
    <s v="05.965.546/0001-09"/>
    <s v="Programa Luz para Todos"/>
    <d v="2025-12-01T00:00:00"/>
    <n v="23167782"/>
    <n v="23167782"/>
    <n v="23167.781999999999"/>
    <d v="2025-12-12T00:00:00"/>
    <s v="Pago"/>
    <s v="ECM 021/2025"/>
    <s v="2ª Tranche"/>
    <s v="2ª"/>
    <s v="AP"/>
    <s v="Liberações"/>
    <n v="0"/>
    <n v="0"/>
    <n v="0"/>
    <n v="0"/>
    <n v="0"/>
    <s v="MLA"/>
    <n v="0"/>
    <n v="0"/>
    <n v="0"/>
  </r>
  <r>
    <d v="2025-12-01T00:00:00"/>
    <s v="EQUATORIAL"/>
    <s v="EQUATORIAL AMAPÁ"/>
    <s v="COMPANHIA DE ELETRICIDADE DO AMAPA CEA"/>
    <s v="05.965.546/0001-09"/>
    <s v="Programa Luz para Todos"/>
    <d v="2025-12-01T00:00:00"/>
    <n v="23167782"/>
    <n v="23167782"/>
    <n v="23167.781999999999"/>
    <d v="2025-12-12T00:00:00"/>
    <s v="Pago"/>
    <s v="ECM 021/2025"/>
    <s v="2ª Tranche"/>
    <s v="3ª"/>
    <s v="AP"/>
    <s v="Liberações"/>
    <n v="0"/>
    <n v="0"/>
    <n v="0"/>
    <n v="0"/>
    <n v="0"/>
    <s v="MLA"/>
    <n v="0"/>
    <n v="0"/>
    <n v="0"/>
  </r>
  <r>
    <d v="2025-09-01T00:00:00"/>
    <s v="EQUATORIAL"/>
    <s v="EQUATORIAL AMAPÁ"/>
    <s v="EMPRESA BRASILEIRA DE PARTICIPACOES EM ENERGIA NUCLEAR E BINACIONAL S.A. - ENBPAR"/>
    <s v="43.913.162/0001-23"/>
    <s v="Programa Luz para Todos"/>
    <d v="2025-09-01T00:00:00"/>
    <n v="1716131.9"/>
    <n v="1716131.9"/>
    <n v="1716.1318999999999"/>
    <d v="2025-09-30T00:00:00"/>
    <s v="Pago"/>
    <s v="ECM 021/2025"/>
    <s v="2ª Tranche"/>
    <s v="1ª"/>
    <s v="AP"/>
    <s v="Liberações"/>
    <n v="0"/>
    <n v="0"/>
    <n v="0"/>
    <n v="0"/>
    <n v="0"/>
    <s v="MLA"/>
    <n v="0"/>
    <n v="0"/>
    <n v="0"/>
  </r>
  <r>
    <d v="2025-10-01T00:00:00"/>
    <s v="ENERGISA"/>
    <s v="ENERGISA RO"/>
    <s v="ENERGISA RONDONIA - DISTRIBUIDORA DE ENERGIA S.A"/>
    <s v="05.914.650/0001-66"/>
    <s v="Programa Luz para Todos"/>
    <d v="2025-10-01T00:00:00"/>
    <n v="7832448"/>
    <n v="7832448"/>
    <n v="7832.4480000000003"/>
    <d v="2025-10-31T00:00:00"/>
    <s v="Pago"/>
    <s v="ECM 022/2025"/>
    <s v="3ª Tranche"/>
    <s v="1ª"/>
    <s v="RO"/>
    <s v="Liberações"/>
    <n v="30124800"/>
    <n v="30124.799999999999"/>
    <n v="27112320"/>
    <n v="27112.32"/>
    <n v="0.9"/>
    <s v="MLA"/>
    <n v="0"/>
    <n v="0"/>
    <n v="0"/>
  </r>
  <r>
    <d v="2025-10-01T00:00:00"/>
    <s v="ENERGISA"/>
    <s v="ENERGISA RO"/>
    <s v="EMPRESA BRASILEIRA DE PARTICIPACOES EM ENERGIA NUCLEAR E BINACIONAL S.A. - ENBPAR"/>
    <s v="43.913.162/0001-23"/>
    <s v="Programa Luz para Todos"/>
    <d v="2025-10-01T00:00:00"/>
    <n v="301248"/>
    <n v="301248"/>
    <n v="301.24799999999999"/>
    <d v="2025-10-31T00:00:00"/>
    <s v="Pago"/>
    <s v="ECM 022/2025"/>
    <s v="3ª Tranche"/>
    <s v="1ª"/>
    <s v="RO"/>
    <s v="Liberações"/>
    <n v="0"/>
    <n v="0"/>
    <n v="0"/>
    <n v="0"/>
    <n v="0"/>
    <s v="MLA"/>
    <n v="0"/>
    <n v="0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5422464"/>
    <n v="5422464"/>
    <n v="5422.4639999999999"/>
    <d v="2025-12-19T00:00:00"/>
    <s v="Pago"/>
    <s v="ECM 022/2025"/>
    <s v="3ª Tranche"/>
    <s v="2ª"/>
    <s v="RO"/>
    <s v="Liberações"/>
    <n v="0"/>
    <n v="0"/>
    <n v="0"/>
    <n v="0"/>
    <n v="0"/>
    <s v="MLA"/>
    <n v="0"/>
    <n v="0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2711232"/>
    <n v="2711232"/>
    <n v="2711.232"/>
    <d v="2025-12-19T00:00:00"/>
    <s v="Pago"/>
    <s v="ECM 022/2025"/>
    <s v="3ª Tranche"/>
    <s v="3ª"/>
    <s v="RO"/>
    <s v="Liberações"/>
    <n v="0"/>
    <n v="0"/>
    <n v="0"/>
    <n v="0"/>
    <n v="0"/>
    <s v="MLA"/>
    <n v="0"/>
    <n v="0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2711232"/>
    <n v="2711232"/>
    <n v="2711.232"/>
    <d v="2025-12-19T00:00:00"/>
    <s v="Pago"/>
    <s v="ECM 022/2025"/>
    <s v="3ª Tranche"/>
    <s v="4ª"/>
    <s v="RO"/>
    <s v="Liberações"/>
    <n v="0"/>
    <n v="0"/>
    <n v="0"/>
    <n v="0"/>
    <n v="0"/>
    <s v="MLA"/>
    <n v="0"/>
    <n v="0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2711232"/>
    <n v="2711232"/>
    <n v="2711.232"/>
    <d v="2025-12-19T00:00:00"/>
    <s v="Pago"/>
    <s v="ECM 022/2025"/>
    <s v="3ª Tranche"/>
    <s v="5ª"/>
    <s v="RO"/>
    <s v="Liberações"/>
    <n v="0"/>
    <n v="0"/>
    <n v="0"/>
    <n v="0"/>
    <n v="0"/>
    <s v="MLA"/>
    <n v="0"/>
    <n v="0"/>
    <n v="0"/>
  </r>
  <r>
    <d v="2025-10-01T00:00:00"/>
    <s v="ENERGISA"/>
    <s v="ENERGISA TO"/>
    <s v="ENERGISA TOCANTINS DISTRIBUIDORA DE ENERGIA S.A."/>
    <s v="25.086.034/0001-71"/>
    <s v="Programa Luz para Todos"/>
    <d v="2025-10-01T00:00:00"/>
    <n v="4301289.7"/>
    <n v="4301289.7"/>
    <n v="4301.2897000000003"/>
    <d v="2025-10-24T00:00:00"/>
    <s v="Pago"/>
    <s v="ECM 023/2025"/>
    <s v="3ª Tranche"/>
    <s v="1ª"/>
    <s v="TO"/>
    <s v="Liberações"/>
    <n v="16543430"/>
    <n v="16543.43"/>
    <n v="14889080"/>
    <n v="14889.08"/>
    <n v="0.89999957687130183"/>
    <s v="MLA"/>
    <n v="0"/>
    <n v="0"/>
    <n v="0"/>
  </r>
  <r>
    <d v="2025-10-01T00:00:00"/>
    <s v="ENERGISA"/>
    <s v="ENERGISA TO"/>
    <s v="EMPRESA BRASILEIRA DE PARTICIPACOES EM ENERGIA NUCLEAR E BINACIONAL S.A. - ENBPAR"/>
    <s v="43.913.162/0001-23"/>
    <s v="Programa Luz para Todos"/>
    <d v="2025-10-01T00:00:00"/>
    <n v="165434.29999999999"/>
    <n v="165434.29999999999"/>
    <n v="165.43429999999998"/>
    <d v="2025-10-24T00:00:00"/>
    <s v="Pago"/>
    <s v="ECM 023/2025"/>
    <s v="3ª Tranche"/>
    <s v="1ª"/>
    <s v="TO"/>
    <s v="Liberações"/>
    <n v="0"/>
    <n v="0"/>
    <n v="0"/>
    <n v="0"/>
    <n v="0"/>
    <s v="MLA"/>
    <n v="0"/>
    <n v="0"/>
    <n v="0"/>
  </r>
  <r>
    <d v="2026-02-01T00:00:00"/>
    <s v="ENERGISA"/>
    <s v="ENERGISA TO"/>
    <s v="ENERGISA TOCANTINS DISTRIBUIDORA DE ENERGIA S.A."/>
    <s v="25.086.034/0001-71"/>
    <s v="Programa Luz para Todos"/>
    <d v="2026-02-01T00:00:00"/>
    <n v="2977816"/>
    <n v="2977816"/>
    <n v="2977.8159999999998"/>
    <d v="2026-02-13T00:00:00"/>
    <s v="Pago"/>
    <s v="ECM 023/2025"/>
    <s v="3ª Tranche"/>
    <s v="2ª"/>
    <s v="TO"/>
    <s v="Liberações"/>
    <n v="0"/>
    <n v="0"/>
    <n v="0"/>
    <n v="0"/>
    <n v="0"/>
    <s v="MLA"/>
    <n v="0"/>
    <n v="0"/>
    <n v="0"/>
  </r>
  <r>
    <d v="2026-02-01T00:00:00"/>
    <s v="ENERGISA"/>
    <s v="ENERGISA TO"/>
    <s v="ENERGISA TOCANTINS DISTRIBUIDORA DE ENERGIA S.A."/>
    <s v="25.086.034/0001-71"/>
    <s v="Programa Luz para Todos"/>
    <d v="2026-02-01T00:00:00"/>
    <n v="1488908"/>
    <n v="1488908"/>
    <n v="1488.9079999999999"/>
    <d v="2026-02-13T00:00:00"/>
    <s v="Pago"/>
    <s v="ECM 023/2025"/>
    <s v="3ª Tranche"/>
    <s v="3ª"/>
    <s v="TO"/>
    <s v="Liberações"/>
    <n v="0"/>
    <n v="0"/>
    <n v="0"/>
    <n v="0"/>
    <n v="0"/>
    <s v="MLA"/>
    <n v="0"/>
    <n v="0"/>
    <n v="0"/>
  </r>
  <r>
    <d v="2026-02-01T00:00:00"/>
    <s v="ENERGISA"/>
    <s v="ENERGISA TO"/>
    <s v="ENERGISA TOCANTINS DISTRIBUIDORA DE ENERGIA S.A."/>
    <s v="25.086.034/0001-71"/>
    <s v="Programa Luz para Todos"/>
    <d v="2026-02-01T00:00:00"/>
    <n v="1488908"/>
    <n v="1488908"/>
    <n v="1488.9079999999999"/>
    <d v="2026-02-13T00:00:00"/>
    <s v="Pago"/>
    <s v="ECM 023/2025"/>
    <s v="3ª Tranche"/>
    <s v="4ª"/>
    <s v="TO"/>
    <s v="Liberações"/>
    <n v="0"/>
    <n v="0"/>
    <n v="0"/>
    <n v="0"/>
    <n v="0"/>
    <s v="MLA"/>
    <n v="0"/>
    <n v="0"/>
    <n v="0"/>
  </r>
  <r>
    <d v="2026-02-01T00:00:00"/>
    <s v="ENERGISA"/>
    <s v="ENERGISA TO"/>
    <s v="ENERGISA TOCANTINS DISTRIBUIDORA DE ENERGIA S.A."/>
    <s v="25.086.034/0001-71"/>
    <s v="Programa Luz para Todos"/>
    <d v="2026-02-01T00:00:00"/>
    <n v="1488908"/>
    <n v="1488908"/>
    <n v="1488.9079999999999"/>
    <d v="2026-02-13T00:00:00"/>
    <s v="Pago"/>
    <s v="ECM 023/2025"/>
    <s v="3ª Tranche"/>
    <s v="5ª"/>
    <s v="TO"/>
    <s v="Liberações"/>
    <n v="0"/>
    <n v="0"/>
    <n v="0"/>
    <n v="0"/>
    <n v="0"/>
    <s v="MLA"/>
    <n v="0"/>
    <n v="0"/>
    <n v="0"/>
  </r>
  <r>
    <d v="2025-09-01T00:00:00"/>
    <s v="ENERGISA"/>
    <s v="ENERGISA AC"/>
    <s v="ENERGISA ACRE - DISTRIBUIDORA DE ENERGIA S.A"/>
    <s v="04.065.033/0001-70"/>
    <s v="Programa Luz para Todos"/>
    <d v="2025-08-01T00:00:00"/>
    <n v="34729774.399999999"/>
    <n v="34729774.399999999"/>
    <n v="34729.774400000002"/>
    <d v="2025-09-05T00:00:00"/>
    <s v="Pago"/>
    <s v="ECM 024/2025"/>
    <s v="3ª Tranche"/>
    <s v="1ª"/>
    <s v="AC"/>
    <s v="Liberações"/>
    <n v="133576060"/>
    <n v="133576.06"/>
    <n v="120218450"/>
    <n v="120218.45"/>
    <n v="0.89999997005451426"/>
    <s v="MLA"/>
    <n v="0"/>
    <n v="0"/>
    <n v="0"/>
  </r>
  <r>
    <d v="2025-09-01T00:00:00"/>
    <s v="ENERGISA"/>
    <s v="ENERGISA AC"/>
    <s v="EMPRESA BRASILEIRA DE PARTICIPACOES EM ENERGIA NUCLEAR E BINACIONAL S.A. - ENBPAR"/>
    <s v="43.913.162/0001-23"/>
    <s v="Programa Luz para Todos"/>
    <d v="2025-08-01T00:00:00"/>
    <n v="1335760.6000000001"/>
    <n v="1335760.6000000001"/>
    <n v="1335.7606000000001"/>
    <d v="2025-09-05T00:00:00"/>
    <s v="Pago"/>
    <s v="ECM 024/2025"/>
    <s v="3ª Tranche"/>
    <s v="1ª"/>
    <s v="AC"/>
    <s v="Liberações"/>
    <n v="0"/>
    <n v="0"/>
    <n v="0"/>
    <n v="0"/>
    <n v="0"/>
    <s v="MLA"/>
    <n v="0"/>
    <n v="0"/>
    <n v="0"/>
  </r>
  <r>
    <d v="2025-11-01T00:00:00"/>
    <s v="ENERGISA"/>
    <s v="ENERGISA AC"/>
    <s v="ENERGISA ACRE - DISTRIBUIDORA DE ENERGIA S.A"/>
    <s v="04.065.033/0001-70"/>
    <s v="Programa Luz para Todos"/>
    <d v="2025-10-01T00:00:00"/>
    <n v="18032767.5"/>
    <n v="18032767.5"/>
    <n v="18032.767500000002"/>
    <d v="2025-11-07T00:00:00"/>
    <s v="Pago"/>
    <s v="ECM 024/2025"/>
    <s v="3ª Tranche"/>
    <s v="2ª "/>
    <s v="AC"/>
    <s v="Liberações"/>
    <n v="0"/>
    <n v="0"/>
    <n v="0"/>
    <n v="0"/>
    <n v="0"/>
    <s v="MLA"/>
    <n v="0"/>
    <n v="0"/>
    <n v="0"/>
  </r>
  <r>
    <d v="2025-11-01T00:00:00"/>
    <s v="ENERGISA"/>
    <s v="ENERGISA AC"/>
    <s v="ENERGISA ACRE - DISTRIBUIDORA DE ENERGIA S.A"/>
    <s v="04.065.033/0001-70"/>
    <s v="Programa Luz para Todos"/>
    <d v="2025-10-01T00:00:00"/>
    <n v="18032767.5"/>
    <n v="18032767.5"/>
    <n v="18032.767500000002"/>
    <d v="2025-11-07T00:00:00"/>
    <s v="Pago"/>
    <s v="ECM 024/2025"/>
    <s v="3ª Tranche"/>
    <s v="3ª"/>
    <s v="AC"/>
    <s v="Liberações"/>
    <n v="0"/>
    <n v="0"/>
    <n v="0"/>
    <n v="0"/>
    <n v="0"/>
    <s v="MLA"/>
    <n v="0"/>
    <n v="0"/>
    <n v="0"/>
  </r>
  <r>
    <d v="2026-02-01T00:00:00"/>
    <s v="ENERGISA"/>
    <s v="ENERGISA AC"/>
    <s v="ENERGISA ACRE - DISTRIBUIDORA DE ENERGIA S.A"/>
    <s v="04.065.033/0001-70"/>
    <s v="Programa Luz para Todos"/>
    <d v="2026-02-01T00:00:00"/>
    <n v="12021845"/>
    <n v="12021845"/>
    <n v="12021.844999999999"/>
    <d v="2026-02-13T00:00:00"/>
    <s v="Pago"/>
    <s v="ECM 024/2025"/>
    <s v="3ª Tranche"/>
    <s v="4ª"/>
    <s v="AC"/>
    <s v="Liberações"/>
    <n v="0"/>
    <n v="0"/>
    <n v="0"/>
    <n v="0"/>
    <n v="0"/>
    <s v="MLA"/>
    <n v="0"/>
    <n v="0"/>
    <n v="0"/>
  </r>
  <r>
    <d v="2026-02-01T00:00:00"/>
    <s v="ENERGISA"/>
    <s v="ENERGISA AC"/>
    <s v="ENERGISA ACRE - DISTRIBUIDORA DE ENERGIA S.A"/>
    <s v="04.065.033/0001-70"/>
    <s v="Programa Luz para Todos"/>
    <d v="2026-02-01T00:00:00"/>
    <n v="12021845"/>
    <n v="12021845"/>
    <n v="12021.844999999999"/>
    <d v="2026-02-13T00:00:00"/>
    <s v="Pago"/>
    <s v="ECM 024/2025"/>
    <s v="3ª Tranche"/>
    <s v="5ª"/>
    <s v="AC"/>
    <s v="Liberações"/>
    <n v="0"/>
    <n v="0"/>
    <n v="0"/>
    <n v="0"/>
    <n v="0"/>
    <s v="MLA"/>
    <n v="0"/>
    <n v="0"/>
    <n v="0"/>
  </r>
  <r>
    <d v="2025-10-01T00:00:00"/>
    <s v="EQUATORIAL"/>
    <s v="EQUATORIAL PARÁ"/>
    <s v="EQUATORIAL PARA DISTRIBUIDORA DE ENERGIA S.A."/>
    <s v="04.895.728/0001-80"/>
    <s v="Programa Luz para Todos"/>
    <d v="2025-10-01T00:00:00"/>
    <n v="326629882.19999999"/>
    <n v="326629882.19999999"/>
    <n v="326629.88219999999"/>
    <d v="2025-10-31T00:00:00"/>
    <s v="Pago"/>
    <s v="ECM 026/2025"/>
    <s v="6ª Tranche"/>
    <s v="1ª"/>
    <s v="PA"/>
    <s v="Liberações"/>
    <n v="1256268780"/>
    <n v="1256268.78"/>
    <n v="1130641900"/>
    <n v="1130641.8999999999"/>
    <n v="0.89999999840798395"/>
    <s v="MLA"/>
    <n v="0"/>
    <n v="0"/>
    <n v="0"/>
  </r>
  <r>
    <d v="2025-10-01T00:00:00"/>
    <s v="EQUATORIAL"/>
    <s v="EQUATORIAL PARÁ"/>
    <s v="EMPRESA BRASILEIRA DE PARTICIPACOES EM ENERGIA NUCLEAR E BINACIONAL S.A. - ENBPAR"/>
    <s v="43.913.162/0001-23"/>
    <s v="Programa Luz para Todos"/>
    <d v="2025-10-01T00:00:00"/>
    <n v="12562687.800000001"/>
    <n v="12562687.800000001"/>
    <n v="12562.687800000002"/>
    <d v="2025-10-31T00:00:00"/>
    <s v="Pago"/>
    <s v="ECM 026/2025"/>
    <s v="6ª Tranche"/>
    <s v="1ª"/>
    <s v="PA"/>
    <s v="Liberações"/>
    <n v="0"/>
    <n v="0"/>
    <n v="0"/>
    <n v="0"/>
    <n v="0"/>
    <s v="MLA"/>
    <n v="0"/>
    <n v="0"/>
    <n v="0"/>
  </r>
  <r>
    <d v="2025-10-01T00:00:00"/>
    <s v="EQUATORIAL"/>
    <s v="EQUATORIAL PARÁ"/>
    <s v="EQUATORIAL PARA DISTRIBUIDORA DE ENERGIA S.A."/>
    <s v="04.895.728/0001-80"/>
    <s v="Programa Luz para Todos"/>
    <d v="2025-10-01T00:00:00"/>
    <n v="33629396.700000003"/>
    <n v="33629396.700000003"/>
    <n v="33629.396700000005"/>
    <d v="2025-10-31T00:00:00"/>
    <s v="Pago"/>
    <s v="ECM 027/2025"/>
    <s v="1ª Tranche"/>
    <s v="1ª"/>
    <s v="PA"/>
    <s v="Liberações"/>
    <n v="129343830"/>
    <n v="129343.83"/>
    <n v="116409450"/>
    <n v="116409.45"/>
    <n v="0.90000002319399386"/>
    <s v="MLA"/>
    <n v="0"/>
    <n v="0"/>
    <n v="0"/>
  </r>
  <r>
    <d v="2025-10-01T00:00:00"/>
    <s v="EQUATORIAL"/>
    <s v="EQUATORIAL PARÁ"/>
    <s v="EMPRESA BRASILEIRA DE PARTICIPACOES EM ENERGIA NUCLEAR E BINACIONAL S.A. - ENBPAR"/>
    <s v="43.913.162/0001-23"/>
    <s v="Programa Luz para Todos"/>
    <d v="2025-10-01T00:00:00"/>
    <n v="1293438.3"/>
    <n v="1293438.3"/>
    <n v="1293.4383"/>
    <d v="2025-10-31T00:00:00"/>
    <s v="Pago"/>
    <s v="ECM 027/2025"/>
    <s v="1ª Tranche"/>
    <s v="1ª"/>
    <s v="PA"/>
    <s v="Liberações"/>
    <n v="0"/>
    <n v="0"/>
    <n v="0"/>
    <n v="0"/>
    <n v="0"/>
    <s v="MLA"/>
    <n v="0"/>
    <n v="0"/>
    <n v="0"/>
  </r>
  <r>
    <d v="2017-06-01T00:00:00"/>
    <s v="NEOENERGIA "/>
    <s v="COELBA"/>
    <s v="CENTRAIS ELETRICAS BRASILEIRAS SA ELETROBRAS"/>
    <s v="00.001.180/0002-07"/>
    <s v="Programa Luz para Todos"/>
    <d v="2017-06-01T00:00:00"/>
    <n v="528477444"/>
    <n v="528477444"/>
    <n v="528477.44400000002"/>
    <s v="Sistema Antigo"/>
    <s v="Pago"/>
    <s v="ECO 001/2018"/>
    <s v="9ª Tranche"/>
    <s v="1ª"/>
    <s v="BA"/>
    <s v="Liberações"/>
    <n v="903380240"/>
    <n v="903380.24"/>
    <n v="587197160"/>
    <n v="587197.16"/>
    <n v="0.65000000442781436"/>
    <s v="LPT"/>
    <n v="-92242241.879999995"/>
    <n v="-92242.241880000001"/>
    <n v="-0.15708904634348025"/>
  </r>
  <r>
    <d v="2017-09-01T00:00:00"/>
    <s v="ENERGISA"/>
    <s v="ENERGISA TO"/>
    <s v="CENTRAIS ELETRICAS BRASILEIRAS SA ELETROBRAS"/>
    <s v="00.001.180/0002-07"/>
    <s v="Programa Luz para Todos"/>
    <d v="2017-09-01T00:00:00"/>
    <n v="33001392.060000002"/>
    <n v="33001392.060000002"/>
    <n v="33001.392060000006"/>
    <s v="Sistema Antigo"/>
    <s v="Pago"/>
    <s v="ECO 002/2017"/>
    <s v="6ª Tranche"/>
    <s v="1ª"/>
    <s v="TO"/>
    <s v="Liberações"/>
    <n v="122134650"/>
    <n v="122134.65"/>
    <n v="79387520"/>
    <n v="79387.520000000004"/>
    <n v="0.64999997953078836"/>
    <s v="LPT"/>
    <n v="0"/>
    <n v="0"/>
    <n v="0"/>
  </r>
  <r>
    <d v="2018-01-01T00:00:00"/>
    <s v="ENERGISA"/>
    <s v="ENERGISA RO"/>
    <s v="CENTRAIS ELETRICAS BRASILEIRAS SA ELETROBRAS"/>
    <s v="00.001.180/0002-07"/>
    <s v="Programa Luz para Todos"/>
    <d v="2017-12-01T00:00:00"/>
    <n v="323191.14666000003"/>
    <n v="323191.14666000003"/>
    <n v="323.19114666000002"/>
    <s v="Sistema Antigo"/>
    <s v="Pago"/>
    <s v="ECO 004/2017"/>
    <s v="6ª Tranche"/>
    <s v="1ª"/>
    <s v="RO"/>
    <s v="Liberações"/>
    <n v="128396140"/>
    <n v="128396.14"/>
    <n v="106992500"/>
    <n v="106992.5"/>
    <n v="0.83329997303657255"/>
    <s v="LPT"/>
    <n v="-13011036.300000001"/>
    <n v="-13011.036300000002"/>
    <n v="-0.12160699394817394"/>
  </r>
  <r>
    <d v="2018-01-01T00:00:00"/>
    <s v="ENERGISA"/>
    <s v="ENERGISA RO"/>
    <s v="ENERGISA RONDONIA - DISTRIBUIDORA DE ENERGIA S.A"/>
    <s v="05.914.650/0001-66"/>
    <s v="Programa Luz para Todos"/>
    <d v="2017-12-01T00:00:00"/>
    <n v="6795493.8899999997"/>
    <n v="6795493.8899999997"/>
    <n v="6795.4938899999997"/>
    <s v="Sistema Antigo"/>
    <s v="Pago"/>
    <s v="ECO 004/2017"/>
    <s v="6ª Tranche"/>
    <s v="1ª"/>
    <s v="RO"/>
    <s v="Liberações"/>
    <n v="0"/>
    <n v="0"/>
    <n v="0"/>
    <n v="0"/>
    <n v="0"/>
    <s v="LPT"/>
    <n v="0"/>
    <n v="0"/>
    <n v="0"/>
  </r>
  <r>
    <d v="2021-03-01T00:00:00"/>
    <s v="ENERGISA"/>
    <s v="ENERGISA RO"/>
    <s v="ENERGISA RONDONIA - DISTRIBUIDORA DE ENERGIA S.A"/>
    <s v="05.914.650/0001-66"/>
    <s v="Programa Luz para Todos"/>
    <d v="2021-03-01T00:00:00"/>
    <n v="16048875"/>
    <n v="16048875"/>
    <n v="16048.875"/>
    <d v="2021-03-12T00:00:00"/>
    <s v="Pago"/>
    <s v="ECO 004/2017"/>
    <s v="6ª Tranche"/>
    <s v="2ª"/>
    <s v="RO"/>
    <s v="Liberações"/>
    <n v="0"/>
    <n v="0"/>
    <n v="0"/>
    <n v="0"/>
    <n v="0"/>
    <s v="LPT"/>
    <n v="0"/>
    <n v="0"/>
    <n v="0"/>
  </r>
  <r>
    <d v="2021-03-01T00:00:00"/>
    <s v="ENERGISA"/>
    <s v="ENERGISA RO"/>
    <s v="ENERGISA RONDONIA - DISTRIBUIDORA DE ENERGIA S.A"/>
    <s v="05.914.650/0001-66"/>
    <s v="Programa Luz para Todos"/>
    <d v="2021-03-01T00:00:00"/>
    <n v="16048875"/>
    <n v="16048875"/>
    <n v="16048.875"/>
    <d v="2021-03-12T00:00:00"/>
    <s v="Pago"/>
    <s v="ECO 004/2017"/>
    <s v="6ª Tranche"/>
    <s v="3ª"/>
    <s v="RO"/>
    <s v="Liberações"/>
    <n v="0"/>
    <n v="0"/>
    <n v="0"/>
    <n v="0"/>
    <n v="0"/>
    <s v="LPT"/>
    <n v="0"/>
    <n v="0"/>
    <n v="0"/>
  </r>
  <r>
    <d v="2022-12-01T00:00:00"/>
    <s v="ENERGISA"/>
    <s v="ENERGISA RO"/>
    <s v="ENERGISA RONDONIA - DISTRIBUIDORA DE ENERGIA S.A"/>
    <s v="05.914.650/0001-66"/>
    <s v="Programa Luz para Todos"/>
    <d v="2022-11-01T00:00:00"/>
    <n v="10669250"/>
    <n v="10669250"/>
    <n v="10669.25"/>
    <d v="2022-12-09T00:00:00"/>
    <s v="Pago"/>
    <s v="ECO 004/2017"/>
    <s v="6ª Tranche"/>
    <s v="4ª"/>
    <s v="RO"/>
    <s v="Liberações"/>
    <n v="0"/>
    <n v="0"/>
    <n v="0"/>
    <n v="0"/>
    <n v="0"/>
    <s v="LPT"/>
    <n v="0"/>
    <n v="0"/>
    <n v="0"/>
  </r>
  <r>
    <d v="2018-01-01T00:00:00"/>
    <s v="ENERGISA"/>
    <s v="ENERGISA MT"/>
    <s v="CENTRAIS ELETRICAS BRASILEIRAS SA ELETROBRAS"/>
    <s v="00.001.180/0002-07"/>
    <s v="Programa Luz para Todos"/>
    <d v="2018-01-01T00:00:00"/>
    <n v="212774799.05000001"/>
    <n v="212774799.05000001"/>
    <n v="212774.79905"/>
    <s v="Sistema Antigo"/>
    <s v="Pago"/>
    <s v="ECO 005/2017"/>
    <s v="7ª Tranche"/>
    <s v="1ª"/>
    <s v="MT"/>
    <s v="Liberações"/>
    <n v="350102500"/>
    <n v="350102.5"/>
    <n v="227566630"/>
    <n v="227566.63"/>
    <n v="0.65000001428153187"/>
    <s v="LPT"/>
    <n v="0"/>
    <n v="0"/>
    <n v="0"/>
  </r>
  <r>
    <d v="2018-07-01T00:00:00"/>
    <s v="AMAZONAS ENERGIA"/>
    <s v="AMAZONAS ENERGIA"/>
    <s v="CENTRAIS ELETRICAS BRASILEIRAS SA ELETROBRAS"/>
    <s v="00.001.180/0002-07"/>
    <s v="Programa Luz para Todos"/>
    <d v="2018-07-01T00:00:00"/>
    <n v="778351.2"/>
    <n v="778351.2"/>
    <n v="778.35119999999995"/>
    <s v="Sistema Antigo"/>
    <s v="Pago"/>
    <s v="ECO 006/2017"/>
    <s v="1ª Tranche"/>
    <s v="1ª"/>
    <s v="AM"/>
    <s v="Liberações"/>
    <n v="77835120"/>
    <n v="77835.12"/>
    <n v="70051610"/>
    <n v="70051.61"/>
    <n v="0.90000002569534165"/>
    <s v="LPT"/>
    <n v="-21788165.57"/>
    <n v="-21788.165570000001"/>
    <n v="-0.31103019002703863"/>
  </r>
  <r>
    <d v="2018-07-01T00:00:00"/>
    <s v="AMAZONAS ENERGIA"/>
    <s v="AMAZONAS ENERGIA"/>
    <s v="AMAZONAS ENERGIA S.A"/>
    <s v="02.341.467/0001-20"/>
    <s v="Programa Luz para Todos"/>
    <d v="2018-07-01T00:00:00"/>
    <n v="20237131.800000001"/>
    <n v="20237131.800000001"/>
    <n v="20237.131799999999"/>
    <s v="Sistema Antigo"/>
    <s v="Pago"/>
    <s v="ECO 006/2017"/>
    <s v="1ª Tranche"/>
    <s v="1ª"/>
    <s v="AM"/>
    <s v="Liberações"/>
    <n v="0"/>
    <n v="0"/>
    <n v="0"/>
    <n v="0"/>
    <n v="0"/>
    <s v="LPT"/>
    <n v="0"/>
    <n v="0"/>
    <n v="0"/>
  </r>
  <r>
    <d v="2018-01-01T00:00:00"/>
    <s v="EQUATORIAL"/>
    <s v="EQUATORIAL PARÁ"/>
    <s v="CENTRAIS ELETRICAS BRASILEIRAS SA ELETROBRAS"/>
    <s v="00.001.180/0002-07"/>
    <s v="Programa Luz para Todos"/>
    <d v="2017-12-01T00:00:00"/>
    <n v="1210427.03739"/>
    <n v="1210427.03739"/>
    <n v="1210.4270373899999"/>
    <s v="Sistema Antigo"/>
    <s v="Pago"/>
    <s v="ECO 007/2017"/>
    <s v="6ª Tranche"/>
    <s v="1ª"/>
    <s v="PA"/>
    <s v="Liberações"/>
    <n v="475567610"/>
    <n v="475567.61"/>
    <n v="356675710"/>
    <n v="356675.71"/>
    <n v="0.75000000525687605"/>
    <s v="LPT"/>
    <n v="-27410026.010000002"/>
    <n v="-27410.026010000001"/>
    <n v="-7.6848591708137348E-2"/>
  </r>
  <r>
    <d v="2018-01-01T00:00:00"/>
    <s v="EQUATORIAL"/>
    <s v="EQUATORIAL PARÁ"/>
    <s v="EQUATORIAL PARA DISTRIBUIDORA DE ENERGIA S.A."/>
    <s v="04.895.728/0001-80"/>
    <s v="Programa Luz para Todos"/>
    <d v="2017-12-01T00:00:00"/>
    <n v="22425870.460000001"/>
    <n v="22425870.460000001"/>
    <n v="22425.870460000002"/>
    <s v="Sistema Antigo"/>
    <s v="Pago"/>
    <s v="ECO 007/2017"/>
    <s v="6ª Tranche"/>
    <s v="1ª"/>
    <s v="PA"/>
    <s v="Liberações"/>
    <n v="0"/>
    <n v="0"/>
    <n v="0"/>
    <n v="0"/>
    <n v="0"/>
    <s v="LPT"/>
    <n v="0"/>
    <n v="0"/>
    <n v="0"/>
  </r>
  <r>
    <d v="2018-10-01T00:00:00"/>
    <s v="EQUATORIAL"/>
    <s v="EQUATORIAL PARÁ"/>
    <s v="EQUATORIAL PARA DISTRIBUIDORA DE ENERGIA S.A."/>
    <s v="04.895.728/0001-80"/>
    <s v="Programa Luz para Todos"/>
    <d v="2018-10-01T00:00:00"/>
    <n v="72131072"/>
    <n v="72131072"/>
    <n v="72131.072"/>
    <s v="Sistema Antigo"/>
    <s v="Pago"/>
    <s v="ECO 007/2017"/>
    <s v="6ª Tranche"/>
    <s v="2ª"/>
    <s v="PA"/>
    <s v="Liberações"/>
    <n v="0"/>
    <n v="0"/>
    <n v="0"/>
    <n v="0"/>
    <n v="0"/>
    <s v="LPT"/>
    <n v="0"/>
    <n v="0"/>
    <n v="0"/>
  </r>
  <r>
    <d v="2020-02-01T00:00:00"/>
    <s v="EQUATORIAL"/>
    <s v="EQUATORIAL PARÁ"/>
    <s v="EQUATORIAL PARA DISTRIBUIDORA DE ENERGIA S.A."/>
    <s v="04.895.728/0001-80"/>
    <s v="Programa Luz para Todos"/>
    <d v="2020-02-01T00:00:00"/>
    <n v="72131072"/>
    <n v="72131072"/>
    <n v="72131.072"/>
    <s v="Sistema Antigo"/>
    <s v="Pago"/>
    <s v="ECO 007/2017"/>
    <s v="6ª Tranche"/>
    <s v="3ª "/>
    <s v="PA"/>
    <s v="Liberações"/>
    <n v="0"/>
    <n v="0"/>
    <n v="0"/>
    <n v="0"/>
    <n v="0"/>
    <s v="LPT"/>
    <n v="0"/>
    <n v="0"/>
    <n v="0"/>
  </r>
  <r>
    <d v="2020-02-01T00:00:00"/>
    <s v="EQUATORIAL"/>
    <s v="EQUATORIAL PARÁ"/>
    <s v="EQUATORIAL PARA DISTRIBUIDORA DE ENERGIA S.A."/>
    <s v="04.895.728/0001-80"/>
    <s v="Programa Luz para Todos"/>
    <d v="2020-02-01T00:00:00"/>
    <n v="72131072"/>
    <n v="72131072"/>
    <n v="72131.072"/>
    <s v="Sistema Antigo"/>
    <s v="Pago"/>
    <s v="ECO 007/2017"/>
    <s v="6ª Tranche"/>
    <s v="4ª"/>
    <s v="PA"/>
    <s v="Liberações"/>
    <n v="0"/>
    <n v="0"/>
    <n v="0"/>
    <n v="0"/>
    <n v="0"/>
    <s v="LPT"/>
    <n v="0"/>
    <n v="0"/>
    <n v="0"/>
  </r>
  <r>
    <d v="2018-07-01T00:00:00"/>
    <s v="AMAZONAS ENERGIA"/>
    <s v="AMAZONAS ENERGIA"/>
    <s v="CENTRAIS ELETRICAS BRASILEIRAS SA ELETROBRAS"/>
    <s v="00.001.180/0002-07"/>
    <s v="Programa Luz para Todos"/>
    <d v="2018-07-01T00:00:00"/>
    <n v="3281134.3"/>
    <n v="3281134.3"/>
    <n v="3281.1342999999997"/>
    <s v="Sistema Antigo"/>
    <s v="Pago"/>
    <s v="ECO 008/2017"/>
    <s v="9ª Tranche"/>
    <s v="1ª"/>
    <s v="AM"/>
    <s v="Liberações"/>
    <n v="328113360"/>
    <n v="328113.36"/>
    <n v="295302020"/>
    <n v="295302.02"/>
    <n v="0.8999999878090913"/>
    <s v="LPT"/>
    <n v="-46421184.890000001"/>
    <n v="-46421.184890000004"/>
    <n v="-0.15719900896715844"/>
  </r>
  <r>
    <d v="2018-07-01T00:00:00"/>
    <s v="AMAZONAS ENERGIA"/>
    <s v="AMAZONAS ENERGIA"/>
    <s v="AMAZONAS ENERGIA S.A"/>
    <s v="02.341.467/0001-20"/>
    <s v="Programa Luz para Todos"/>
    <d v="2018-07-01T00:00:00"/>
    <n v="85309489.700000003"/>
    <n v="85309489.700000003"/>
    <n v="85309.489700000006"/>
    <s v="Sistema Antigo"/>
    <s v="Pago"/>
    <s v="ECO 008/2017"/>
    <s v="9ª Tranche"/>
    <s v="1ª"/>
    <s v="AM"/>
    <s v="Liberações"/>
    <n v="0"/>
    <n v="0"/>
    <n v="0"/>
    <n v="0"/>
    <n v="0"/>
    <s v="LPT"/>
    <n v="0"/>
    <n v="0"/>
    <n v="0"/>
  </r>
  <r>
    <d v="2018-11-01T00:00:00"/>
    <s v="AMAZONAS ENERGIA"/>
    <s v="AMAZONAS ENERGIA"/>
    <s v="AMAZONAS ENERGIA S.A"/>
    <s v="02.341.467/0001-20"/>
    <s v="Programa Luz para Todos"/>
    <d v="2018-11-01T00:00:00"/>
    <n v="59060416"/>
    <n v="59060416"/>
    <n v="59060.415999999997"/>
    <s v="Sistema Antigo"/>
    <s v="Pago"/>
    <s v="ECO 008/2017"/>
    <s v="9ª Tranche"/>
    <s v="2ª"/>
    <s v="AM"/>
    <s v="Liberações"/>
    <n v="0"/>
    <n v="0"/>
    <n v="0"/>
    <n v="0"/>
    <n v="0"/>
    <s v="LPT"/>
    <n v="0"/>
    <n v="0"/>
    <n v="0"/>
  </r>
  <r>
    <d v="2020-12-01T00:00:00"/>
    <s v="AMAZONAS ENERGIA"/>
    <s v="AMAZONAS ENERGIA"/>
    <s v="AMAZONAS ENERGIA S.A"/>
    <s v="02.341.467/0001-20"/>
    <s v="Programa Luz para Todos"/>
    <d v="2020-12-01T00:00:00"/>
    <n v="59060416"/>
    <n v="59060416"/>
    <n v="59060.415999999997"/>
    <d v="2020-12-23T00:00:00"/>
    <s v="Pago"/>
    <s v="ECO 008/2017"/>
    <s v="9ª Tranche"/>
    <s v="3ª"/>
    <s v="AM"/>
    <s v="Liberações"/>
    <n v="0"/>
    <n v="0"/>
    <n v="0"/>
    <n v="0"/>
    <n v="0"/>
    <s v="LPT"/>
    <n v="0"/>
    <n v="0"/>
    <n v="0"/>
  </r>
  <r>
    <d v="2021-08-01T00:00:00"/>
    <s v="AMAZONAS ENERGIA"/>
    <s v="AMAZONAS ENERGIA"/>
    <s v="AMAZONAS ENERGIA S.A"/>
    <s v="02.341.467/0001-20"/>
    <s v="Programa Luz para Todos"/>
    <d v="2021-08-01T00:00:00"/>
    <n v="59060416"/>
    <n v="59060416"/>
    <n v="59060.415999999997"/>
    <s v="Sistema Antigo"/>
    <s v="Pago"/>
    <s v="ECO 008/2017"/>
    <s v="9ª Tranche"/>
    <s v="4ª"/>
    <s v="AM"/>
    <s v="Liberações"/>
    <n v="0"/>
    <n v="0"/>
    <n v="0"/>
    <n v="0"/>
    <n v="0"/>
    <s v="LPT"/>
    <n v="0"/>
    <n v="0"/>
    <n v="0"/>
  </r>
  <r>
    <d v="2018-04-01T00:00:00"/>
    <s v="RORAIMA ENERGIA"/>
    <s v="RORAIMA ENERGIA"/>
    <s v="CENTRAIS ELETRICAS BRASILEIRAS SA ELETROBRAS"/>
    <s v="00.001.180/0002-07"/>
    <s v="Programa Luz para Todos"/>
    <d v="2018-04-01T00:00:00"/>
    <n v="116925.8"/>
    <n v="116925.8"/>
    <n v="116.92580000000001"/>
    <s v="Sistema Antigo"/>
    <s v="Pago"/>
    <s v="ECO 009/2017"/>
    <s v="4ª Tranche"/>
    <s v="1ª"/>
    <s v="RR"/>
    <s v="Liberações"/>
    <n v="11692560"/>
    <n v="11692.56"/>
    <n v="10523310"/>
    <n v="10523.31"/>
    <n v="0.90000051314682161"/>
    <s v="LPT"/>
    <n v="0"/>
    <n v="0"/>
    <n v="0"/>
  </r>
  <r>
    <d v="2018-04-01T00:00:00"/>
    <s v="RORAIMA ENERGIA"/>
    <s v="RORAIMA ENERGIA"/>
    <s v="BOA VISTA ENERGIA S.A."/>
    <s v="02.341.470/0001-44"/>
    <s v="Programa Luz para Todos"/>
    <d v="2018-04-01T00:00:00"/>
    <n v="3040073.2"/>
    <n v="3040073.2"/>
    <n v="3040.0732000000003"/>
    <s v="Sistema Antigo"/>
    <s v="Pago"/>
    <s v="ECO 009/2017"/>
    <s v="4ª Tranche"/>
    <s v="1ª"/>
    <s v="RR"/>
    <s v="Liberações"/>
    <n v="0"/>
    <n v="0"/>
    <n v="0"/>
    <n v="0"/>
    <n v="0"/>
    <s v="LPT"/>
    <n v="0"/>
    <n v="0"/>
    <n v="0"/>
  </r>
  <r>
    <d v="2019-08-01T00:00:00"/>
    <s v="RORAIMA ENERGIA"/>
    <s v="RORAIMA ENERGIA"/>
    <s v="RORAIMA ENERGIA S.A"/>
    <s v="02.341.470/0001-44"/>
    <s v="Programa Luz para Todos"/>
    <d v="2019-08-01T00:00:00"/>
    <n v="1052333"/>
    <n v="1052333"/>
    <n v="1052.3330000000001"/>
    <s v="Sistema Antigo"/>
    <s v="Pago"/>
    <s v="ECO 009/2017"/>
    <s v="4ª Tranche"/>
    <s v="2ª"/>
    <s v="RR"/>
    <s v="Liberações"/>
    <n v="0"/>
    <n v="0"/>
    <n v="0"/>
    <n v="0"/>
    <n v="0"/>
    <s v="LPT"/>
    <n v="0"/>
    <n v="0"/>
    <n v="0"/>
  </r>
  <r>
    <d v="2021-08-01T00:00:00"/>
    <s v="RORAIMA ENERGIA"/>
    <s v="RORAIMA ENERGIA"/>
    <s v="RORAIMA ENERGIA S.A"/>
    <s v="02.341.470/0001-44"/>
    <s v="Programa Luz para Todos"/>
    <d v="2021-08-01T00:00:00"/>
    <n v="1578492.5"/>
    <n v="1578492.5"/>
    <n v="1578.4925000000001"/>
    <s v="Sistema Antigo"/>
    <s v="Pago"/>
    <s v="ECO 009/2017"/>
    <s v="4ª Tranche"/>
    <s v="3ª "/>
    <s v="RR"/>
    <s v="Liberações"/>
    <n v="0"/>
    <n v="0"/>
    <n v="0"/>
    <n v="0"/>
    <n v="0"/>
    <s v="LPT"/>
    <n v="0"/>
    <n v="0"/>
    <n v="0"/>
  </r>
  <r>
    <d v="2021-08-01T00:00:00"/>
    <s v="RORAIMA ENERGIA"/>
    <s v="RORAIMA ENERGIA"/>
    <s v="RORAIMA ENERGIA S.A"/>
    <s v="02.341.470/0001-44"/>
    <s v="Programa Luz para Todos"/>
    <d v="2021-08-01T00:00:00"/>
    <n v="1578492.5"/>
    <n v="1578492.5"/>
    <n v="1578.4925000000001"/>
    <s v="Sistema Antigo"/>
    <s v="Pago"/>
    <s v="ECO 009/2017"/>
    <s v="4ª Tranche"/>
    <s v="4ª"/>
    <s v="RR"/>
    <s v="Liberações"/>
    <n v="0"/>
    <n v="0"/>
    <n v="0"/>
    <n v="0"/>
    <n v="0"/>
    <s v="LPT"/>
    <n v="0"/>
    <n v="0"/>
    <n v="0"/>
  </r>
  <r>
    <d v="2023-06-01T00:00:00"/>
    <s v="RORAIMA ENERGIA"/>
    <s v="RORAIMA ENERGIA"/>
    <s v="RORAIMA ENERGIA S.A"/>
    <s v="02.341.470/0001-44"/>
    <s v="Programa Luz para Todos"/>
    <d v="2023-06-01T00:00:00"/>
    <n v="570253.13"/>
    <n v="570253.13"/>
    <n v="570.25313000000006"/>
    <s v="Sistema Antigo"/>
    <s v="Pago"/>
    <s v="ECO 009/2017"/>
    <s v="4ª Tranche"/>
    <s v="parcela final"/>
    <s v="RR"/>
    <s v="Liberações"/>
    <n v="0"/>
    <n v="0"/>
    <n v="0"/>
    <n v="0"/>
    <n v="0"/>
    <s v="LPT"/>
    <n v="0"/>
    <n v="0"/>
    <n v="0"/>
  </r>
  <r>
    <d v="2018-06-01T00:00:00"/>
    <s v="EQUATORIAL"/>
    <s v="EQUATORIAL AMAPÁ"/>
    <s v="CENTRAIS ELETRICAS BRASILEIRAS SA ELETROBRAS"/>
    <s v="00.001.180/0002-07"/>
    <s v="Programa Luz para Todos"/>
    <d v="2018-06-01T00:00:00"/>
    <n v="49317687"/>
    <n v="49317687"/>
    <n v="49317.686999999998"/>
    <s v="Sistema Antigo"/>
    <s v="Pago"/>
    <s v="ECO 010/2018"/>
    <s v="3ª Tranche"/>
    <s v="1ª"/>
    <s v="AP"/>
    <s v="Liberações"/>
    <n v="172681140"/>
    <n v="172681.14"/>
    <n v="164392290"/>
    <n v="164392.29"/>
    <n v="0.95199910077035632"/>
    <s v="LPT"/>
    <n v="0"/>
    <n v="0"/>
    <n v="0"/>
  </r>
  <r>
    <d v="2018-06-01T00:00:00"/>
    <s v="EQUATORIAL"/>
    <s v="EQUATORIAL AMAPÁ"/>
    <s v="CENTRAIS ELÉTRICAS DO NORTE DO BRASIL S/A - ELETRONORTE"/>
    <s v="00.357.038/0001-16"/>
    <s v="Programa Luz para Todos"/>
    <d v="2018-06-01T00:00:00"/>
    <n v="47590875.600000001"/>
    <n v="47590875.600000001"/>
    <n v="47590.875599999999"/>
    <s v="Sistema Antigo"/>
    <s v="Pago"/>
    <s v="ECO 010/2018"/>
    <s v="3ª Tranche"/>
    <s v="1ª"/>
    <s v="AP"/>
    <s v="Liberações"/>
    <n v="0"/>
    <n v="0"/>
    <n v="0"/>
    <n v="0"/>
    <n v="0"/>
    <s v="LPT"/>
    <n v="0"/>
    <n v="0"/>
    <n v="0"/>
  </r>
  <r>
    <d v="2018-06-01T00:00:00"/>
    <s v="EQUATORIAL"/>
    <s v="EQUATORIAL AMAPÁ"/>
    <s v="COMPANHIA DE ELETRICIDADE DO AMAPA CEA"/>
    <s v="05.965.546/0001-09"/>
    <s v="Programa Luz para Todos"/>
    <d v="2018-06-01T00:00:00"/>
    <n v="6920295.0499999998"/>
    <n v="6920295.0499999998"/>
    <n v="6920.2950499999997"/>
    <s v="Sistema Antigo"/>
    <s v="Pago"/>
    <s v="ECO 011/2018"/>
    <s v="1ª Tranche"/>
    <s v="1ª"/>
    <s v="AP"/>
    <s v="Liberações"/>
    <n v="82637010"/>
    <n v="82637.009999999995"/>
    <n v="74373310"/>
    <n v="74373.31"/>
    <n v="0.90000001210111547"/>
    <s v="LPT"/>
    <n v="-29654401.890000001"/>
    <n v="-29654.401890000001"/>
    <n v="-0.39872370733533308"/>
  </r>
  <r>
    <d v="2018-07-01T00:00:00"/>
    <s v="EQUATORIAL"/>
    <s v="EQUATORIAL AMAPÁ"/>
    <s v="COMPANHIA DE ELETRICIDADE DO AMAPA CEA"/>
    <s v="05.965.546/0001-09"/>
    <s v="Programa Luz para Todos"/>
    <d v="2018-07-01T00:00:00"/>
    <n v="13418596.039999999"/>
    <n v="13418596.039999999"/>
    <n v="13418.596039999999"/>
    <s v="Sistema Antigo"/>
    <s v="Pago"/>
    <s v="ECO 011/2018"/>
    <s v="1ª Tranche"/>
    <s v="1ª"/>
    <s v="AP"/>
    <s v="Liberações"/>
    <n v="0"/>
    <n v="0"/>
    <n v="0"/>
    <n v="0"/>
    <n v="0"/>
    <s v="LPT"/>
    <n v="0"/>
    <n v="0"/>
    <n v="0"/>
  </r>
  <r>
    <d v="2018-07-01T00:00:00"/>
    <s v="EQUATORIAL"/>
    <s v="EQUATORIAL AMAPÁ"/>
    <s v="COMPANHIA DE ELETRICIDADE DO AMAPA CEA"/>
    <s v="05.965.546/0001-09"/>
    <s v="Programa Luz para Todos"/>
    <d v="2018-07-01T00:00:00"/>
    <n v="1146801.1100000001"/>
    <n v="1146801.1100000001"/>
    <n v="1146.8011100000001"/>
    <s v="Sistema Antigo"/>
    <s v="Pago"/>
    <s v="ECO 011/2018"/>
    <s v="1ª Tranche"/>
    <s v="1ª"/>
    <s v="AP"/>
    <s v="Liberações"/>
    <n v="0"/>
    <n v="0"/>
    <n v="0"/>
    <n v="0"/>
    <n v="0"/>
    <s v="LPT"/>
    <n v="0"/>
    <n v="0"/>
    <n v="0"/>
  </r>
  <r>
    <d v="2018-06-01T00:00:00"/>
    <s v="EQUATORIAL"/>
    <s v="EQUATORIAL AMAPÁ"/>
    <s v="CENTRAIS ELETRICAS BRASILEIRAS SA ELETROBRAS"/>
    <s v="00.001.180/0002-07"/>
    <s v="Programa Luz para Todos"/>
    <d v="2018-06-01T00:00:00"/>
    <n v="826372.8"/>
    <n v="826372.8"/>
    <n v="826.3728000000001"/>
    <s v="Sistema Antigo"/>
    <s v="Pago"/>
    <s v="ECO 011/2018"/>
    <s v="1ª Tranche"/>
    <s v="1ª"/>
    <s v="AP"/>
    <s v="Liberações"/>
    <n v="0"/>
    <n v="0"/>
    <n v="0"/>
    <n v="0"/>
    <n v="0"/>
    <s v="LPT"/>
    <n v="0"/>
    <n v="0"/>
    <n v="0"/>
  </r>
  <r>
    <d v="2018-10-01T00:00:00"/>
    <s v="EQUATORIAL"/>
    <s v="EQUATORIAL AMAPÁ"/>
    <s v="COMPANHIA DE ELETRICIDADE DO AMAPA CEA"/>
    <s v="05.965.546/0001-09"/>
    <s v="Programa Luz para Todos"/>
    <d v="2018-10-01T00:00:00"/>
    <n v="8067096.1600000001"/>
    <n v="8067096.1600000001"/>
    <n v="8067.0961600000001"/>
    <s v="Sistema Antigo"/>
    <s v="Pago"/>
    <s v="ECO 011/2018"/>
    <s v="1ª Tranche"/>
    <s v="2ª"/>
    <s v="AP"/>
    <s v="Liberações"/>
    <n v="0"/>
    <n v="0"/>
    <n v="0"/>
    <n v="0"/>
    <n v="0"/>
    <s v="LPT"/>
    <n v="0"/>
    <n v="0"/>
    <n v="0"/>
  </r>
  <r>
    <d v="2021-12-01T00:00:00"/>
    <s v="EQUATORIAL"/>
    <s v="EQUATORIAL AMAPÁ"/>
    <s v="COMPANHIA DE ELETRICIDADE DO AMAPA CEA"/>
    <s v="05.965.546/0001-09"/>
    <s v="Programa Luz para Todos"/>
    <d v="2021-12-01T00:00:00"/>
    <n v="7437355"/>
    <n v="7437355"/>
    <n v="7437.3549999999996"/>
    <d v="2021-12-17T00:00:00"/>
    <s v="Pago"/>
    <s v="ECO 011/2018"/>
    <s v="1ª Tranche"/>
    <s v="2ª"/>
    <s v="AP"/>
    <s v="Liberações"/>
    <n v="0"/>
    <n v="0"/>
    <n v="0"/>
    <n v="0"/>
    <n v="0"/>
    <s v="LPT"/>
    <n v="0"/>
    <n v="0"/>
    <n v="0"/>
  </r>
  <r>
    <d v="2024-01-01T00:00:00"/>
    <s v="EQUATORIAL"/>
    <s v="EQUATORIAL AMAPÁ"/>
    <s v="COMPANHIA DE ELETRICIDADE DO AMAPA CEA"/>
    <s v="05.965.546/0001-09"/>
    <s v="Programa Luz para Todos"/>
    <d v="2024-01-02T00:00:00"/>
    <n v="14874566"/>
    <n v="14874566"/>
    <n v="14874.566000000001"/>
    <d v="2024-01-19T00:00:00"/>
    <s v="Pago"/>
    <s v="ECO 011/2018"/>
    <s v="1ª Tranche"/>
    <s v="3ª"/>
    <s v="AP"/>
    <s v="Liberações"/>
    <n v="0"/>
    <n v="0"/>
    <n v="0"/>
    <n v="0"/>
    <n v="0"/>
    <s v="LPT"/>
    <n v="0"/>
    <n v="0"/>
    <n v="0"/>
  </r>
  <r>
    <d v="2018-05-01T00:00:00"/>
    <s v="EQUATORIAL"/>
    <s v="EQUATORIAL PARÁ"/>
    <s v="CENTRAIS ELETRICAS BRASILEIRAS SA ELETROBRAS"/>
    <s v="00.001.180/0002-07"/>
    <s v="Programa Luz para Todos"/>
    <d v="2018-05-01T00:00:00"/>
    <n v="342362"/>
    <n v="342362"/>
    <n v="342.36200000000002"/>
    <s v="Sistema Antigo"/>
    <s v="Pago"/>
    <s v="ECO 012/2018"/>
    <s v="2ª Tranche"/>
    <s v="1ª"/>
    <s v="PA"/>
    <s v="Liberações"/>
    <n v="35403180"/>
    <n v="35403.18"/>
    <n v="31862860"/>
    <n v="31862.86"/>
    <n v="0.89999994350789958"/>
    <s v="LPT"/>
    <n v="0"/>
    <n v="0"/>
    <n v="0"/>
  </r>
  <r>
    <d v="2018-05-01T00:00:00"/>
    <s v="EQUATORIAL"/>
    <s v="EQUATORIAL PARÁ"/>
    <s v="EQUATORIAL PARA DISTRIBUIDORA DE ENERGIA S.A."/>
    <s v="04.895.728/0001-80"/>
    <s v="Programa Luz para Todos"/>
    <d v="2018-05-01T00:00:00"/>
    <n v="8901412"/>
    <n v="8901412"/>
    <n v="8901.4120000000003"/>
    <s v="Sistema Antigo"/>
    <s v="Pago"/>
    <s v="ECO 012/2018"/>
    <s v="2ª Tranche"/>
    <s v="1ª"/>
    <s v="PA"/>
    <s v="Liberações"/>
    <n v="0"/>
    <n v="0"/>
    <n v="0"/>
    <n v="0"/>
    <n v="0"/>
    <s v="LPT"/>
    <n v="0"/>
    <n v="0"/>
    <n v="0"/>
  </r>
  <r>
    <d v="2020-01-01T00:00:00"/>
    <s v="EQUATORIAL"/>
    <s v="EQUATORIAL PARÁ"/>
    <s v="EQUATORIAL PARA DISTRIBUIDORA DE ENERGIA S.A."/>
    <s v="04.895.728/0001-80"/>
    <s v="Programa Luz para Todos"/>
    <d v="2020-01-01T00:00:00"/>
    <n v="8901412"/>
    <n v="8901412"/>
    <n v="8901.4120000000003"/>
    <s v="Sistema Antigo"/>
    <s v="Pago"/>
    <s v="ECO 012/2018"/>
    <s v="2ª Tranche"/>
    <s v="2ª"/>
    <s v="PA"/>
    <s v="Liberações"/>
    <n v="0"/>
    <n v="0"/>
    <n v="0"/>
    <n v="0"/>
    <n v="0"/>
    <s v="LPT"/>
    <n v="0"/>
    <n v="0"/>
    <n v="0"/>
  </r>
  <r>
    <d v="2020-01-01T00:00:00"/>
    <s v="EQUATORIAL"/>
    <s v="EQUATORIAL PARÁ"/>
    <s v="EQUATORIAL PARA DISTRIBUIDORA DE ENERGIA S.A."/>
    <s v="04.895.728/0001-80"/>
    <s v="Programa Luz para Todos"/>
    <d v="2020-01-01T00:00:00"/>
    <n v="5108152"/>
    <n v="5108152"/>
    <n v="5108.152"/>
    <s v="Sistema Antigo"/>
    <s v="Pago"/>
    <s v="ECO 012/2018"/>
    <s v="2ª Tranche"/>
    <s v="3ª"/>
    <s v="PA"/>
    <s v="Liberações"/>
    <n v="0"/>
    <n v="0"/>
    <n v="0"/>
    <n v="0"/>
    <n v="0"/>
    <s v="LPT"/>
    <n v="0"/>
    <n v="0"/>
    <n v="0"/>
  </r>
  <r>
    <d v="2020-01-01T00:00:00"/>
    <s v="EQUATORIAL"/>
    <s v="EQUATORIAL PARÁ"/>
    <s v="EQUATORIAL PARA DISTRIBUIDORA DE ENERGIA S.A."/>
    <s v="04.895.728/0001-80"/>
    <s v="Programa Luz para Todos"/>
    <d v="2020-01-01T00:00:00"/>
    <n v="2554076"/>
    <n v="2554076"/>
    <n v="2554.076"/>
    <s v="Sistema Antigo"/>
    <s v="Pago"/>
    <s v="ECO 012/2018"/>
    <s v="2ª Tranche"/>
    <s v="4ª"/>
    <s v="PA"/>
    <s v="Liberações"/>
    <n v="0"/>
    <n v="0"/>
    <n v="0"/>
    <n v="0"/>
    <n v="0"/>
    <s v="LPT"/>
    <n v="0"/>
    <n v="0"/>
    <n v="0"/>
  </r>
  <r>
    <d v="2024-06-01T00:00:00"/>
    <s v="EQUATORIAL"/>
    <s v="EQUATORIAL PARÁ"/>
    <s v="EQUATORIAL PARA DISTRIBUIDORA DE ENERGIA S.A."/>
    <s v="04.895.728/0001-80"/>
    <s v="Programa Luz para Todos"/>
    <d v="2024-06-01T00:00:00"/>
    <n v="2880044.23"/>
    <n v="2880044.23"/>
    <n v="2880.04423"/>
    <d v="2024-07-26T00:00:00"/>
    <s v="Pago"/>
    <s v="ECO 012/2018"/>
    <s v="2ª Tranche"/>
    <s v="parcela final"/>
    <s v="PA"/>
    <s v="Liberações"/>
    <n v="0"/>
    <n v="0"/>
    <n v="0"/>
    <n v="0"/>
    <n v="0"/>
    <s v="LPT"/>
    <n v="0"/>
    <n v="0"/>
    <n v="0"/>
  </r>
  <r>
    <d v="2018-08-01T00:00:00"/>
    <s v="EQUATORIAL"/>
    <s v="EQUATORIAL MARANHÃO"/>
    <s v="CENTRAIS ELETRICAS BRASILEIRAS SA ELETROBRAS"/>
    <s v="00.001.180/0002-07"/>
    <s v="Programa Luz para Todos"/>
    <d v="2018-08-01T00:00:00"/>
    <n v="1453223.6"/>
    <n v="1453223.6"/>
    <n v="1453.2236"/>
    <s v="Sistema Antigo"/>
    <s v="Pago"/>
    <s v="ECO 013/2018"/>
    <s v="9ª Tranche"/>
    <s v="1ª"/>
    <s v="MA"/>
    <s v="Liberações"/>
    <n v="145321490"/>
    <n v="145321.49"/>
    <n v="108991120"/>
    <n v="108991.12"/>
    <n v="0.75000001720323672"/>
    <s v="LPT"/>
    <n v="-13330011.5"/>
    <n v="-13330.011500000001"/>
    <n v="-0.12230364730631266"/>
  </r>
  <r>
    <d v="2018-08-01T00:00:00"/>
    <s v="EQUATORIAL"/>
    <s v="EQUATORIAL MARANHÃO"/>
    <s v="EQUATORIAL MARANHAO DISTRIBUIDORA DE ENERGIA S.A"/>
    <s v="06.272.793/0001-84"/>
    <s v="Programa Luz para Todos"/>
    <d v="2018-08-01T00:00:00"/>
    <n v="31244307.399999999"/>
    <n v="31244307.399999999"/>
    <n v="31244.307399999998"/>
    <s v="Sistema Antigo"/>
    <s v="Pago"/>
    <s v="ECO 013/2018"/>
    <s v="9ª Tranche"/>
    <s v="1ª"/>
    <s v="MA"/>
    <s v="Liberações"/>
    <n v="0"/>
    <n v="0"/>
    <n v="0"/>
    <n v="0"/>
    <n v="0"/>
    <s v="LPT"/>
    <n v="0"/>
    <n v="0"/>
    <n v="0"/>
  </r>
  <r>
    <d v="2018-09-01T00:00:00"/>
    <s v="EQUATORIAL"/>
    <s v="EQUATORIAL MARANHÃO"/>
    <s v="EQUATORIAL MARANHAO DISTRIBUIDORA DE ENERGIA S.A"/>
    <s v="06.272.793/0001-84"/>
    <s v="Programa Luz para Todos"/>
    <d v="2018-09-01T00:00:00"/>
    <n v="21798354"/>
    <n v="21798354"/>
    <n v="21798.353999999999"/>
    <s v="Sistema Antigo"/>
    <s v="Pago"/>
    <s v="ECO 013/2018"/>
    <s v="9ª Tranche"/>
    <s v="2ª"/>
    <s v="MA"/>
    <s v="Liberações"/>
    <n v="0"/>
    <n v="0"/>
    <n v="0"/>
    <n v="0"/>
    <n v="0"/>
    <s v="LPT"/>
    <n v="0"/>
    <n v="0"/>
    <n v="0"/>
  </r>
  <r>
    <d v="2018-11-01T00:00:00"/>
    <s v="EQUATORIAL"/>
    <s v="EQUATORIAL MARANHÃO"/>
    <s v="EQUATORIAL MARANHAO DISTRIBUIDORA DE ENERGIA S.A"/>
    <s v="06.272.793/0001-84"/>
    <s v="Programa Luz para Todos"/>
    <d v="2018-11-01T00:00:00"/>
    <n v="21798354"/>
    <n v="21798354"/>
    <n v="21798.353999999999"/>
    <s v="Sistema Antigo"/>
    <s v="Pago"/>
    <s v="ECO 013/2018"/>
    <s v="9ª Tranche"/>
    <s v="3ª"/>
    <s v="MA"/>
    <s v="Liberações"/>
    <n v="0"/>
    <n v="0"/>
    <n v="0"/>
    <n v="0"/>
    <n v="0"/>
    <s v="LPT"/>
    <n v="0"/>
    <n v="0"/>
    <n v="0"/>
  </r>
  <r>
    <d v="2018-12-01T00:00:00"/>
    <s v="EQUATORIAL"/>
    <s v="EQUATORIAL MARANHÃO"/>
    <s v="EQUATORIAL MARANHAO DISTRIBUIDORA DE ENERGIA S.A"/>
    <s v="06.272.793/0001-84"/>
    <s v="Programa Luz para Todos"/>
    <d v="2018-12-01T00:00:00"/>
    <n v="21798354"/>
    <n v="21798354"/>
    <n v="21798.353999999999"/>
    <s v="Sistema Antigo"/>
    <s v="Pago"/>
    <s v="ECO 013/2018"/>
    <s v="9ª Tranche"/>
    <s v="4ª"/>
    <s v="MA"/>
    <s v="Liberações"/>
    <n v="0"/>
    <n v="0"/>
    <n v="0"/>
    <n v="0"/>
    <n v="0"/>
    <s v="LPT"/>
    <n v="0"/>
    <n v="0"/>
    <n v="0"/>
  </r>
  <r>
    <d v="2019-09-01T00:00:00"/>
    <s v="EQUATORIAL"/>
    <s v="EQUATORIAL MARANHÃO"/>
    <s v="CENTRAIS ELETRICAS BRASILEIRAS SA ELETROBRAS"/>
    <s v="00.001.180/0002-07"/>
    <s v="Programa Luz para Todos"/>
    <d v="2019-09-01T00:00:00"/>
    <n v="2607100.7999999998"/>
    <n v="2607100.7999999998"/>
    <n v="2607.1007999999997"/>
    <s v="Sistema Antigo"/>
    <s v="Pago"/>
    <s v="ECO 015/2019"/>
    <s v="10ª Tranche"/>
    <s v="1ª"/>
    <s v="MA"/>
    <s v="Liberações"/>
    <n v="260709640"/>
    <n v="260709.64"/>
    <n v="182496740"/>
    <n v="182496.74"/>
    <n v="0.69999996931452169"/>
    <s v="LPT"/>
    <n v="-21811097.510000002"/>
    <n v="-21811.097510000003"/>
    <n v="-0.11951499796653903"/>
  </r>
  <r>
    <d v="2019-09-01T00:00:00"/>
    <s v="EQUATORIAL"/>
    <s v="EQUATORIAL MARANHÃO"/>
    <s v="EQUATORIAL MARANHAO DISTRIBUIDORA DE ENERGIA S.A"/>
    <s v="06.272.793/0001-84"/>
    <s v="Programa Luz para Todos"/>
    <d v="2019-09-01T00:00:00"/>
    <n v="33892311.200000003"/>
    <n v="33892311.200000003"/>
    <n v="33892.311200000004"/>
    <s v="Sistema Antigo"/>
    <s v="Pago"/>
    <s v="ECO 015/2019"/>
    <s v="10ª Tranche"/>
    <s v="1ª"/>
    <s v="MA"/>
    <s v="Liberações"/>
    <n v="0"/>
    <n v="0"/>
    <n v="0"/>
    <n v="0"/>
    <n v="0"/>
    <s v="LPT"/>
    <n v="0"/>
    <n v="0"/>
    <n v="0"/>
  </r>
  <r>
    <d v="2020-05-01T00:00:00"/>
    <s v="EQUATORIAL"/>
    <s v="EQUATORIAL MARANHÃO"/>
    <s v="EQUATORIAL MARANHAO DISTRIBUIDORA DE ENERGIA S.A"/>
    <s v="06.272.793/0001-84"/>
    <s v="Programa Luz para Todos"/>
    <d v="2020-05-01T00:00:00"/>
    <n v="36499412"/>
    <n v="36499412"/>
    <n v="36499.411999999997"/>
    <s v="Sistema Antigo"/>
    <s v="Pago"/>
    <s v="ECO 015/2019"/>
    <s v="10ª Tranche"/>
    <s v="2ª"/>
    <s v="MA"/>
    <s v="Liberações"/>
    <n v="0"/>
    <n v="0"/>
    <n v="0"/>
    <n v="0"/>
    <n v="0"/>
    <s v="LPT"/>
    <n v="0"/>
    <n v="0"/>
    <n v="0"/>
  </r>
  <r>
    <d v="2021-06-01T00:00:00"/>
    <s v="EQUATORIAL"/>
    <s v="EQUATORIAL MARANHÃO"/>
    <s v="EQUATORIAL MARANHAO DISTRIBUIDORA DE ENERGIA S.A"/>
    <s v="06.272.793/0001-84"/>
    <s v="Programa Luz para Todos"/>
    <d v="2021-06-01T00:00:00"/>
    <n v="36499220"/>
    <n v="36499220"/>
    <n v="36499.22"/>
    <d v="2021-06-30T00:00:00"/>
    <s v="Pago"/>
    <s v="ECO 015/2019"/>
    <s v="10ª Tranche"/>
    <s v="3ª "/>
    <s v="MA"/>
    <s v="Liberações"/>
    <n v="0"/>
    <n v="0"/>
    <n v="0"/>
    <n v="0"/>
    <n v="0"/>
    <s v="LPT"/>
    <n v="0"/>
    <n v="0"/>
    <n v="0"/>
  </r>
  <r>
    <d v="2022-05-01T00:00:00"/>
    <s v="EQUATORIAL"/>
    <s v="EQUATORIAL MARANHÃO"/>
    <s v="EQUATORIAL MARANHAO DISTRIBUIDORA DE ENERGIA S.A"/>
    <s v="06.272.793/0001-84"/>
    <s v="Programa Luz para Todos"/>
    <d v="2022-05-01T00:00:00"/>
    <n v="18249674"/>
    <n v="18249674"/>
    <n v="18249.673999999999"/>
    <d v="2022-05-11T00:00:00"/>
    <s v="Pago"/>
    <s v="ECO 015/2019"/>
    <s v="10ª Tranche"/>
    <s v="4ª"/>
    <s v="MA"/>
    <s v="Liberações"/>
    <n v="0"/>
    <n v="0"/>
    <n v="0"/>
    <n v="0"/>
    <n v="0"/>
    <s v="LPT"/>
    <n v="0"/>
    <n v="0"/>
    <n v="0"/>
  </r>
  <r>
    <d v="2022-12-01T00:00:00"/>
    <s v="EQUATORIAL"/>
    <s v="EQUATORIAL MARANHÃO"/>
    <s v="EQUATORIAL MARANHAO DISTRIBUIDORA DE ENERGIA S.A"/>
    <s v="06.272.793/0001-84"/>
    <s v="Programa Luz para Todos"/>
    <d v="2022-11-01T00:00:00"/>
    <n v="18249706"/>
    <n v="18249706"/>
    <n v="18249.705999999998"/>
    <d v="2022-12-02T00:00:00"/>
    <s v="Pago"/>
    <s v="ECO 015/2019"/>
    <s v="10ª Tranche"/>
    <s v="5ª"/>
    <s v="MA"/>
    <s v="Liberações"/>
    <n v="0"/>
    <n v="0"/>
    <n v="0"/>
    <n v="0"/>
    <n v="0"/>
    <s v="LPT"/>
    <n v="0"/>
    <n v="0"/>
    <n v="0"/>
  </r>
  <r>
    <d v="2023-05-01T00:00:00"/>
    <s v="EQUATORIAL"/>
    <s v="EQUATORIAL MARANHÃO"/>
    <s v="EQUATORIAL MARANHAO DISTRIBUIDORA DE ENERGIA S.A"/>
    <s v="06.272.793/0001-84"/>
    <s v="Programa Luz para Todos"/>
    <d v="2023-05-01T00:00:00"/>
    <n v="18249642"/>
    <n v="18249642"/>
    <n v="18249.642"/>
    <d v="2023-05-31T00:00:00"/>
    <s v="Pago"/>
    <s v="ECO 015/2019"/>
    <s v="10ª Tranche"/>
    <s v="6ª"/>
    <s v="MA"/>
    <s v="Liberações"/>
    <n v="0"/>
    <n v="0"/>
    <n v="0"/>
    <n v="0"/>
    <n v="0"/>
    <s v="LPT"/>
    <n v="0"/>
    <n v="0"/>
    <n v="0"/>
  </r>
  <r>
    <d v="2019-10-01T00:00:00"/>
    <s v="EQUATORIAL"/>
    <s v="EQUATORIAL PIAUI"/>
    <s v="CENTRAIS ELETRICAS BRASILEIRAS SA ELETROBRAS"/>
    <s v="00.001.180/0002-07"/>
    <s v="Programa Luz para Todos"/>
    <d v="2019-10-01T00:00:00"/>
    <n v="2353731.2000000002"/>
    <n v="2353731.2000000002"/>
    <n v="2353.7312000000002"/>
    <s v="Sistema Antigo"/>
    <s v="Pago"/>
    <s v="ECO 016/2019"/>
    <s v="6ª Tranche"/>
    <s v="1ª"/>
    <s v="PI"/>
    <s v="Liberações"/>
    <n v="235373120"/>
    <n v="235373.12"/>
    <n v="164761180"/>
    <n v="164761.18"/>
    <n v="0.69999998300570598"/>
    <s v="LPT"/>
    <n v="-12831233.250000002"/>
    <n v="-12831.233250000001"/>
    <n v="-7.7877769812039477E-2"/>
  </r>
  <r>
    <d v="2019-10-01T00:00:00"/>
    <s v="EQUATORIAL"/>
    <s v="EQUATORIAL PIAUI"/>
    <s v="EQUATORIAL PIAUI DISTRIBUIDORA DE ENERGIA S.A"/>
    <s v="06.840.748/0001-89"/>
    <s v="Programa Luz para Todos"/>
    <d v="2019-10-01T00:00:00"/>
    <n v="30598504.800000001"/>
    <n v="30598504.800000001"/>
    <n v="30598.504800000002"/>
    <s v="Sistema Antigo"/>
    <s v="Pago"/>
    <s v="ECO 016/2019"/>
    <s v="6ª Tranche"/>
    <s v="1ª"/>
    <s v="PI"/>
    <s v="Liberações"/>
    <n v="0"/>
    <n v="0"/>
    <n v="0"/>
    <n v="0"/>
    <n v="0"/>
    <s v="LPT"/>
    <n v="0"/>
    <n v="0"/>
    <n v="0"/>
  </r>
  <r>
    <d v="2020-03-01T00:00:00"/>
    <s v="EQUATORIAL"/>
    <s v="EQUATORIAL PIAUI"/>
    <s v="EQUATORIAL PIAUI DISTRIBUIDORA DE ENERGIA S.A"/>
    <s v="06.840.748/0001-89"/>
    <s v="Programa Luz para Todos"/>
    <d v="2020-03-01T00:00:00"/>
    <n v="32952236"/>
    <n v="32952236"/>
    <n v="32952.235999999997"/>
    <s v="Sistema Antigo"/>
    <s v="Pago"/>
    <s v="ECO 016/2019"/>
    <s v="6ª Tranche"/>
    <s v="2ª"/>
    <s v="PI"/>
    <s v="Liberações"/>
    <n v="0"/>
    <n v="0"/>
    <n v="0"/>
    <n v="0"/>
    <n v="0"/>
    <s v="LPT"/>
    <n v="0"/>
    <n v="0"/>
    <n v="0"/>
  </r>
  <r>
    <d v="2022-12-01T00:00:00"/>
    <s v="EQUATORIAL"/>
    <s v="EQUATORIAL PIAUI"/>
    <s v="EQUATORIAL PIAUI DISTRIBUIDORA DE ENERGIA S.A"/>
    <s v="06.840.748/0001-89"/>
    <s v="Programa Luz para Todos"/>
    <d v="2022-12-01T00:00:00"/>
    <n v="32952236"/>
    <n v="32952236"/>
    <n v="32952.235999999997"/>
    <d v="2022-12-29T00:00:00"/>
    <s v="Pago"/>
    <s v="ECO 016/2019"/>
    <s v="6ª Tranche"/>
    <s v="3ª "/>
    <s v="PI"/>
    <s v="Liberações"/>
    <n v="0"/>
    <n v="0"/>
    <n v="0"/>
    <n v="0"/>
    <n v="0"/>
    <s v="LPT"/>
    <n v="0"/>
    <n v="0"/>
    <n v="0"/>
  </r>
  <r>
    <d v="2023-06-01T00:00:00"/>
    <s v="EQUATORIAL"/>
    <s v="EQUATORIAL PIAUI"/>
    <s v="EQUATORIAL PIAUI DISTRIBUIDORA DE ENERGIA S.A"/>
    <s v="06.840.748/0001-89"/>
    <s v="Programa Luz para Todos"/>
    <d v="2023-06-01T00:00:00"/>
    <n v="16476118"/>
    <n v="16476118"/>
    <n v="16476.117999999999"/>
    <d v="2023-06-23T00:00:00"/>
    <s v="Pago"/>
    <s v="ECO 016/2019"/>
    <s v="6ª Tranche"/>
    <s v="4ª"/>
    <s v="PI"/>
    <s v="Liberações"/>
    <n v="0"/>
    <n v="0"/>
    <n v="0"/>
    <n v="0"/>
    <n v="0"/>
    <s v="LPT"/>
    <n v="0"/>
    <n v="0"/>
    <n v="0"/>
  </r>
  <r>
    <d v="2023-06-01T00:00:00"/>
    <s v="EQUATORIAL"/>
    <s v="EQUATORIAL PIAUI"/>
    <s v="EQUATORIAL PIAUI DISTRIBUIDORA DE ENERGIA S.A"/>
    <s v="06.840.748/0001-89"/>
    <s v="Programa Luz para Todos"/>
    <d v="2023-06-01T00:00:00"/>
    <n v="16476118"/>
    <n v="16476118"/>
    <n v="16476.117999999999"/>
    <d v="2023-06-23T00:00:00"/>
    <s v="Pago"/>
    <s v="ECO 016/2019"/>
    <s v="6ª Tranche"/>
    <s v="5ª"/>
    <s v="PI"/>
    <s v="Liberações"/>
    <n v="0"/>
    <n v="0"/>
    <n v="0"/>
    <n v="0"/>
    <n v="0"/>
    <s v="LPT"/>
    <n v="0"/>
    <n v="0"/>
    <n v="0"/>
  </r>
  <r>
    <d v="2023-12-01T00:00:00"/>
    <s v="EQUATORIAL"/>
    <s v="EQUATORIAL PIAUI"/>
    <s v="EQUATORIAL PIAUI DISTRIBUIDORA DE ENERGIA S.A"/>
    <s v="06.840.748/0001-89"/>
    <s v="Programa Luz para Todos"/>
    <d v="2023-12-01T00:00:00"/>
    <n v="16476118"/>
    <n v="16476118"/>
    <n v="16476.117999999999"/>
    <d v="2023-12-14T00:00:00"/>
    <s v="Pago"/>
    <s v="ECO 016/2019"/>
    <s v="6ª Tranche"/>
    <s v="6ª"/>
    <s v="PI"/>
    <s v="Liberações"/>
    <n v="0"/>
    <n v="0"/>
    <n v="0"/>
    <n v="0"/>
    <n v="0"/>
    <s v="LPT"/>
    <n v="0"/>
    <n v="0"/>
    <n v="0"/>
  </r>
  <r>
    <d v="2021-08-01T00:00:00"/>
    <s v="EQUATORIAL"/>
    <s v="EQUATORIAL GOIÁS"/>
    <s v="CENTRAIS ELETRICAS BRASILEIRAS SA ELETROBRAS"/>
    <s v="00.001.180/0002-07"/>
    <s v="Programa Luz para Todos"/>
    <d v="2021-08-01T00:00:00"/>
    <n v="82249961.989999995"/>
    <n v="82249961.989999995"/>
    <n v="82249.961989999996"/>
    <d v="2021-08-31T00:00:00"/>
    <s v="Pago"/>
    <s v="ECO 017/2019"/>
    <s v="5ª Tranche"/>
    <s v="1ª"/>
    <s v="GO"/>
    <s v="Liberações"/>
    <n v="173904560"/>
    <n v="173904.56"/>
    <n v="104342730"/>
    <n v="104342.73"/>
    <n v="0.59999996549831702"/>
    <s v="LPT"/>
    <n v="0"/>
    <n v="0"/>
    <n v="0"/>
  </r>
  <r>
    <d v="2019-10-01T00:00:00"/>
    <s v="NEOENERGIA "/>
    <s v="COELBA"/>
    <s v="CENTRAIS ELETRICAS BRASILEIRAS SA ELETROBRAS"/>
    <s v="00.001.180/0002-07"/>
    <s v="Programa Luz para Todos"/>
    <d v="2019-10-01T00:00:00"/>
    <n v="615954798"/>
    <n v="615954798"/>
    <n v="615954.79799999995"/>
    <s v="Sistema Antigo"/>
    <s v="Pago"/>
    <s v="ECO 018/2019"/>
    <s v="10ª Tranche"/>
    <s v="1ª"/>
    <s v="BA"/>
    <s v="Liberações"/>
    <n v="1052914190"/>
    <n v="1052914.19"/>
    <n v="684394220"/>
    <n v="684394.22"/>
    <n v="0.64999999667589248"/>
    <s v="LPT"/>
    <n v="-67716755.690000013"/>
    <n v="-67716.755690000005"/>
    <n v="-9.8944078881905248E-2"/>
  </r>
  <r>
    <d v="2020-08-01T00:00:00"/>
    <s v="RORAIMA ENERGIA"/>
    <s v="RORAIMA ENERGIA"/>
    <s v="CENTRAIS ELETRICAS BRASILEIRAS SA ELETROBRAS"/>
    <s v="00.001.180/0002-07"/>
    <s v="Programa Luz para Todos"/>
    <d v="2020-08-01T00:00:00"/>
    <n v="1046376.5"/>
    <n v="1046376.5"/>
    <n v="1046.3765000000001"/>
    <d v="2020-08-01T00:00:00"/>
    <s v="Pago"/>
    <s v="ECO 019/2020"/>
    <s v="5ª Tranche"/>
    <s v="1ª"/>
    <s v="RR"/>
    <s v="Liberações"/>
    <n v="104637330"/>
    <n v="104637.33"/>
    <n v="94173600"/>
    <n v="94173.6"/>
    <n v="0.90000002867045636"/>
    <s v="LPT"/>
    <n v="-13307169.15"/>
    <n v="-13307.16915"/>
    <n v="-0.14130466659445959"/>
  </r>
  <r>
    <d v="2020-08-01T00:00:00"/>
    <s v="RORAIMA ENERGIA"/>
    <s v="RORAIMA ENERGIA"/>
    <s v="RORAIMA ENERGIA S.A"/>
    <s v="02.341.470/0001-44"/>
    <s v="Programa Luz para Todos"/>
    <d v="2020-08-01T00:00:00"/>
    <n v="17788401.5"/>
    <n v="17788401.5"/>
    <n v="17788.4015"/>
    <d v="2020-08-01T00:00:00"/>
    <s v="Pago"/>
    <s v="ECO 019/2020"/>
    <s v="5ª Tranche"/>
    <s v="1ª"/>
    <s v="RR"/>
    <s v="Liberações"/>
    <n v="0"/>
    <n v="0"/>
    <n v="0"/>
    <n v="0"/>
    <n v="0"/>
    <s v="LPT"/>
    <n v="0"/>
    <n v="0"/>
    <n v="0"/>
  </r>
  <r>
    <d v="2022-03-01T00:00:00"/>
    <s v="RORAIMA ENERGIA"/>
    <s v="RORAIMA ENERGIA"/>
    <s v="RORAIMA ENERGIA S.A"/>
    <s v="02.341.470/0001-44"/>
    <s v="Programa Luz para Todos"/>
    <d v="2022-03-01T00:00:00"/>
    <n v="18834778"/>
    <n v="18834778"/>
    <n v="18834.777999999998"/>
    <d v="2022-03-25T00:00:00"/>
    <s v="Pago"/>
    <s v="ECO 019/2020"/>
    <s v="5ª Tranche"/>
    <s v="2ª"/>
    <s v="RR"/>
    <s v="Liberações"/>
    <n v="0"/>
    <n v="0"/>
    <n v="0"/>
    <n v="0"/>
    <n v="0"/>
    <s v="LPT"/>
    <n v="0"/>
    <n v="0"/>
    <n v="0"/>
  </r>
  <r>
    <d v="2022-10-01T00:00:00"/>
    <s v="RORAIMA ENERGIA"/>
    <s v="RORAIMA ENERGIA"/>
    <s v="RORAIMA ENERGIA S.A"/>
    <s v="02.341.470/0001-44"/>
    <s v="Programa Luz para Todos"/>
    <d v="2022-10-01T00:00:00"/>
    <n v="18834778"/>
    <n v="18834778"/>
    <n v="18834.777999999998"/>
    <d v="2022-10-18T00:00:00"/>
    <s v="Pago"/>
    <s v="ECO 019/2020"/>
    <s v="5ª Tranche"/>
    <s v="3ª "/>
    <s v="RR"/>
    <s v="Liberações"/>
    <n v="0"/>
    <n v="0"/>
    <n v="0"/>
    <n v="0"/>
    <n v="0"/>
    <s v="LPT"/>
    <n v="0"/>
    <n v="0"/>
    <n v="0"/>
  </r>
  <r>
    <d v="2023-04-01T00:00:00"/>
    <s v="RORAIMA ENERGIA"/>
    <s v="RORAIMA ENERGIA"/>
    <s v="RORAIMA ENERGIA S.A"/>
    <s v="02.341.470/0001-44"/>
    <s v="Programa Luz para Todos"/>
    <d v="2023-04-01T00:00:00"/>
    <n v="9417270"/>
    <n v="9417270"/>
    <n v="9417.27"/>
    <d v="2023-04-20T00:00:00"/>
    <s v="Pago"/>
    <s v="ECO 019/2020"/>
    <s v="5ª Tranche"/>
    <s v="4ª"/>
    <s v="RR"/>
    <s v="Liberações"/>
    <n v="0"/>
    <n v="0"/>
    <n v="0"/>
    <n v="0"/>
    <n v="0"/>
    <s v="LPT"/>
    <n v="0"/>
    <n v="0"/>
    <n v="0"/>
  </r>
  <r>
    <d v="2025-01-01T00:00:00"/>
    <s v="RORAIMA ENERGIA"/>
    <s v="RORAIMA ENERGIA"/>
    <s v="RORAIMA ENERGIA S.A"/>
    <s v="02.341.470/0001-44"/>
    <s v="Programa Luz para Todos"/>
    <d v="2025-01-01T00:00:00"/>
    <n v="9417360"/>
    <n v="9417360"/>
    <n v="9417.36"/>
    <d v="2025-01-24T00:00:00"/>
    <s v="Pago"/>
    <s v="ECO 019/2020"/>
    <s v="5ª Tranche"/>
    <s v="6ª"/>
    <s v="RR"/>
    <s v="Liberações"/>
    <n v="0"/>
    <n v="0"/>
    <n v="0"/>
    <n v="0"/>
    <n v="0"/>
    <s v="LPT"/>
    <n v="0"/>
    <n v="0"/>
    <n v="0"/>
  </r>
  <r>
    <d v="2023-12-01T00:00:00"/>
    <s v="RORAIMA ENERGIA"/>
    <s v="RORAIMA ENERGIA"/>
    <s v="RORAIMA ENERGIA S.A"/>
    <s v="02.341.470/0001-44"/>
    <s v="Programa Luz para Todos"/>
    <d v="2023-12-01T00:00:00"/>
    <n v="9417270"/>
    <n v="9417270"/>
    <n v="9417.27"/>
    <d v="2023-12-14T00:00:00"/>
    <s v="Pago"/>
    <s v="ECO 019/2020"/>
    <s v="5ª Tranche"/>
    <s v="5ª"/>
    <s v="RR"/>
    <s v="Liberações"/>
    <n v="0"/>
    <n v="0"/>
    <n v="0"/>
    <n v="0"/>
    <n v="0"/>
    <s v="LPT"/>
    <n v="0"/>
    <n v="0"/>
    <n v="0"/>
  </r>
  <r>
    <d v="2020-11-01T00:00:00"/>
    <s v="ENERGISA"/>
    <s v="ENERGISA AC"/>
    <s v="CENTRAIS ELETRICAS BRASILEIRAS SA ELETROBRAS"/>
    <s v="00.001.180/0002-07"/>
    <s v="Programa Luz para Todos"/>
    <d v="2020-11-01T00:00:00"/>
    <n v="461943"/>
    <n v="461943"/>
    <n v="461.94299999999998"/>
    <d v="2020-11-19T00:00:00"/>
    <s v="Pago"/>
    <s v="ECO 020/2020"/>
    <s v="7ª Tranche"/>
    <s v="1ª"/>
    <s v="AC"/>
    <s v="Liberações"/>
    <n v="46164300"/>
    <n v="46164.3"/>
    <n v="41574870"/>
    <n v="41574.870000000003"/>
    <n v="0.7000000017718202"/>
    <s v="LPT"/>
    <n v="-7661275.9000000004"/>
    <n v="-7661.2759000000005"/>
    <n v="-0.16189999992784104"/>
  </r>
  <r>
    <d v="2020-11-01T00:00:00"/>
    <s v="ENERGISA"/>
    <s v="ENERGISA AC"/>
    <s v="ENERGISA ACRE - DISTRIBUIDORA DE ENERGIA S.A"/>
    <s v="04.065.033/0001-70"/>
    <s v="Programa Luz para Todos"/>
    <d v="2020-11-01T00:00:00"/>
    <n v="7853031"/>
    <n v="7853031"/>
    <n v="7853.0309999999999"/>
    <d v="2020-11-19T00:00:00"/>
    <s v="Pago"/>
    <s v="ECO 020/2020"/>
    <s v="7ª Tranche"/>
    <s v="1ª"/>
    <s v="AC"/>
    <s v="Liberações"/>
    <n v="0"/>
    <n v="0"/>
    <n v="0"/>
    <n v="0"/>
    <n v="0"/>
    <s v="LPT"/>
    <n v="0"/>
    <n v="0"/>
    <n v="0"/>
  </r>
  <r>
    <d v="2023-01-01T00:00:00"/>
    <s v="ENERGISA"/>
    <s v="ENERGISA AC"/>
    <s v="ENERGISA ACRE - DISTRIBUIDORA DE ENERGIA S.A"/>
    <s v="04.065.033/0001-70"/>
    <s v="Programa Luz para Todos"/>
    <d v="2023-01-01T00:00:00"/>
    <n v="8314974"/>
    <n v="8314974"/>
    <n v="8314.9740000000002"/>
    <d v="2023-01-20T00:00:00"/>
    <s v="Pago"/>
    <s v="ECO 020/2020"/>
    <s v="7ª Tranche"/>
    <s v="2ª "/>
    <s v="AC"/>
    <s v="Liberações"/>
    <n v="0"/>
    <n v="0"/>
    <n v="0"/>
    <n v="0"/>
    <n v="0"/>
    <s v="LPT"/>
    <n v="0"/>
    <n v="0"/>
    <n v="0"/>
  </r>
  <r>
    <d v="2023-06-01T00:00:00"/>
    <s v="ENERGISA"/>
    <s v="ENERGISA AC"/>
    <s v="ENERGISA ACRE - DISTRIBUIDORA DE ENERGIA S.A"/>
    <s v="04.065.033/0001-70"/>
    <s v="Programa Luz para Todos"/>
    <d v="2023-06-01T00:00:00"/>
    <n v="8314974"/>
    <n v="8314974"/>
    <n v="8314.9740000000002"/>
    <d v="2023-06-23T00:00:00"/>
    <s v="Pago"/>
    <s v="ECO 020/2020"/>
    <s v="7ª Tranche"/>
    <s v="3ª"/>
    <s v="AC"/>
    <s v="Liberações"/>
    <n v="0"/>
    <n v="0"/>
    <n v="0"/>
    <n v="0"/>
    <n v="0"/>
    <s v="LPT"/>
    <n v="0"/>
    <n v="0"/>
    <n v="0"/>
  </r>
  <r>
    <d v="2023-09-01T00:00:00"/>
    <s v="ENERGISA"/>
    <s v="ENERGISA AC"/>
    <s v="ENERGISA ACRE - DISTRIBUIDORA DE ENERGIA S.A"/>
    <s v="04.065.033/0001-70"/>
    <s v="Programa Luz para Todos"/>
    <d v="2023-08-06T00:00:00"/>
    <n v="4157487"/>
    <n v="4157487"/>
    <n v="4157.4870000000001"/>
    <d v="2023-09-06T00:00:00"/>
    <s v="Pago"/>
    <s v="ECO 020/2020"/>
    <s v="7ª Tranche"/>
    <s v="4ª"/>
    <s v="AC"/>
    <s v="Liberações"/>
    <n v="0"/>
    <n v="0"/>
    <n v="0"/>
    <n v="0"/>
    <n v="0"/>
    <s v="LPT"/>
    <n v="0"/>
    <n v="0"/>
    <n v="0"/>
  </r>
  <r>
    <d v="2023-09-01T00:00:00"/>
    <s v="ENERGISA"/>
    <s v="ENERGISA AC"/>
    <s v="ENERGISA ACRE - DISTRIBUIDORA DE ENERGIA S.A"/>
    <s v="04.065.033/0001-70"/>
    <s v="Programa Luz para Todos"/>
    <d v="2023-08-06T00:00:00"/>
    <n v="4157487"/>
    <n v="4157487"/>
    <n v="4157.4870000000001"/>
    <d v="2023-09-06T00:00:00"/>
    <s v="Pago"/>
    <s v="ECO 020/2020"/>
    <s v="7ª Tranche"/>
    <s v="5ª"/>
    <s v="AC"/>
    <s v="Liberações"/>
    <n v="0"/>
    <n v="0"/>
    <n v="0"/>
    <n v="0"/>
    <n v="0"/>
    <s v="LPT"/>
    <n v="0"/>
    <n v="0"/>
    <n v="0"/>
  </r>
  <r>
    <d v="2023-09-01T00:00:00"/>
    <s v="ENERGISA"/>
    <s v="ENERGISA AC"/>
    <s v="ENERGISA ACRE - DISTRIBUIDORA DE ENERGIA S.A"/>
    <s v="04.065.033/0001-70"/>
    <s v="Programa Luz para Todos"/>
    <d v="2023-08-06T00:00:00"/>
    <n v="4157487"/>
    <n v="4157487"/>
    <n v="4157.4870000000001"/>
    <d v="2023-09-06T00:00:00"/>
    <s v="Pago"/>
    <s v="ECO 020/2020"/>
    <s v="7ª Tranche"/>
    <s v="6ª"/>
    <s v="AC"/>
    <s v="Liberações"/>
    <n v="0"/>
    <n v="0"/>
    <n v="0"/>
    <n v="0"/>
    <n v="0"/>
    <s v="LPT"/>
    <n v="0"/>
    <n v="0"/>
    <n v="0"/>
  </r>
  <r>
    <d v="2020-12-01T00:00:00"/>
    <s v="EQUATORIAL"/>
    <s v="EQUATORIAL PARÁ"/>
    <s v="CENTRAIS ELETRICAS BRASILEIRAS SA ELETROBRAS"/>
    <s v="00.001.180/0002-07"/>
    <s v="Programa Luz para Todos"/>
    <d v="2020-12-01T00:00:00"/>
    <n v="355839579"/>
    <n v="355839579"/>
    <n v="355839.57900000003"/>
    <d v="2020-12-21T00:00:00"/>
    <s v="Pago"/>
    <s v="ECO 021/2020"/>
    <s v="7ª Tranche"/>
    <s v="1ª"/>
    <s v="PA"/>
    <s v="Liberações"/>
    <n v="564391370"/>
    <n v="564391.37"/>
    <n v="395073960"/>
    <n v="395073.96"/>
    <n v="0.7"/>
    <s v="LPT"/>
    <n v="0"/>
    <n v="0"/>
    <n v="0"/>
  </r>
  <r>
    <d v="2021-09-01T00:00:00"/>
    <s v="ENERGISA"/>
    <s v="ENERGISA MS"/>
    <s v="CENTRAIS ELETRICAS BRASILEIRAS SA ELETROBRAS"/>
    <s v="00.001.180/0002-07"/>
    <s v="Programa Luz para Todos"/>
    <d v="2021-09-01T00:00:00"/>
    <n v="68676120"/>
    <n v="68676120"/>
    <n v="68676.12"/>
    <d v="2021-09-09T00:00:00"/>
    <s v="Pago"/>
    <s v="ECO 022/2021"/>
    <s v="6ª Tranche"/>
    <s v="1ª"/>
    <s v="MS"/>
    <s v="Liberações"/>
    <n v="127178000"/>
    <n v="127178"/>
    <n v="76306800"/>
    <n v="76306.8"/>
    <n v="0.6"/>
    <s v="LPT"/>
    <n v="-7018141.7799999993"/>
    <n v="-7018.141779999999"/>
    <n v="-9.1972691555667382E-2"/>
  </r>
  <r>
    <d v="2022-05-01T00:00:00"/>
    <s v="ENERGISA"/>
    <s v="ENERGISA RO"/>
    <s v="CENTRAIS ELETRICAS BRASILEIRAS SA ELETROBRAS"/>
    <s v="00.001.180/0002-07"/>
    <s v="Programa Luz para Todos"/>
    <d v="2022-05-01T00:00:00"/>
    <n v="1657234"/>
    <n v="1657234"/>
    <n v="1657.2339999999999"/>
    <d v="2022-05-16T00:00:00"/>
    <s v="Pago"/>
    <s v="ECO 023/2021"/>
    <s v="7ª Tranche"/>
    <s v="1ª"/>
    <s v="RO"/>
    <s v="Liberações"/>
    <n v="165723400"/>
    <n v="165723.4"/>
    <n v="149151060"/>
    <n v="149151.06"/>
    <n v="0.9"/>
    <s v="LPT"/>
    <n v="-27939141.27"/>
    <n v="-27939.14127"/>
    <n v="-0.1645748074468931"/>
  </r>
  <r>
    <d v="2022-05-01T00:00:00"/>
    <s v="ENERGISA"/>
    <s v="ENERGISA RO"/>
    <s v="ENERGISA RONDONIA - DISTRIBUIDORA DE ENERGIA S.A"/>
    <s v="05.914.650/0001-66"/>
    <s v="Programa Luz para Todos"/>
    <d v="2022-05-01T00:00:00"/>
    <n v="28172978"/>
    <n v="28172978"/>
    <n v="28172.977999999999"/>
    <d v="2022-05-16T00:00:00"/>
    <s v="Pago"/>
    <s v="ECO 023/2021"/>
    <s v="7ª Tranche"/>
    <s v="1ª"/>
    <s v="RO"/>
    <s v="Liberações"/>
    <n v="0"/>
    <n v="0"/>
    <n v="0"/>
    <n v="0"/>
    <n v="0"/>
    <s v="LPT"/>
    <n v="0"/>
    <n v="0"/>
    <n v="0"/>
  </r>
  <r>
    <d v="2022-10-01T00:00:00"/>
    <s v="ENERGISA"/>
    <s v="ENERGISA RO"/>
    <s v="ENERGISA RONDONIA - DISTRIBUIDORA DE ENERGIA S.A"/>
    <s v="05.914.650/0001-66"/>
    <s v="Programa Luz para Todos"/>
    <d v="2022-09-01T00:00:00"/>
    <n v="29830212"/>
    <n v="29830212"/>
    <n v="29830.212"/>
    <d v="2022-10-07T00:00:00"/>
    <s v="Pago"/>
    <s v="ECO 023/2021"/>
    <s v="7ª Tranche"/>
    <s v="2ª"/>
    <s v="RO"/>
    <s v="Liberações"/>
    <n v="0"/>
    <n v="0"/>
    <n v="0"/>
    <n v="0"/>
    <n v="0"/>
    <s v="LPT"/>
    <n v="0"/>
    <n v="0"/>
    <n v="0"/>
  </r>
  <r>
    <d v="2023-09-01T00:00:00"/>
    <s v="ENERGISA"/>
    <s v="ENERGISA RO"/>
    <s v="ENERGISA RONDONIA - DISTRIBUIDORA DE ENERGIA S.A"/>
    <s v="05.914.650/0001-66"/>
    <s v="Programa Luz para Todos"/>
    <d v="2023-09-06T00:00:00"/>
    <n v="22372659"/>
    <n v="22372659"/>
    <n v="22372.659"/>
    <d v="2023-09-29T00:00:00"/>
    <s v="Pago"/>
    <s v="ECO 023/2021"/>
    <s v="7ª Tranche"/>
    <s v="3ª"/>
    <s v="RO"/>
    <s v="Liberações"/>
    <n v="0"/>
    <n v="0"/>
    <n v="0"/>
    <n v="0"/>
    <n v="0"/>
    <s v="LPT"/>
    <n v="0"/>
    <n v="0"/>
    <n v="0"/>
  </r>
  <r>
    <d v="2023-09-01T00:00:00"/>
    <s v="ENERGISA"/>
    <s v="ENERGISA RO"/>
    <s v="ENERGISA RONDONIA - DISTRIBUIDORA DE ENERGIA S.A"/>
    <s v="05.914.650/0001-66"/>
    <s v="Programa Luz para Todos"/>
    <d v="2023-09-06T00:00:00"/>
    <n v="22372659"/>
    <n v="22372659"/>
    <n v="22372.659"/>
    <d v="2023-09-29T00:00:00"/>
    <s v="Pago"/>
    <s v="ECO 023/2021"/>
    <s v="7ª Tranche"/>
    <s v="4ª"/>
    <s v="RO"/>
    <s v="Liberações"/>
    <n v="0"/>
    <n v="0"/>
    <n v="0"/>
    <n v="0"/>
    <n v="0"/>
    <s v="LPT"/>
    <n v="0"/>
    <n v="0"/>
    <n v="0"/>
  </r>
  <r>
    <d v="2022-12-01T00:00:00"/>
    <s v="EQUATORIAL"/>
    <s v="EQUATORIAL MARANHÃO"/>
    <s v="CENTRAIS ELETRICAS BRASILEIRAS SA ELETROBRAS"/>
    <s v="00.001.180/0002-07"/>
    <s v="Programa Luz para Todos"/>
    <d v="2022-12-01T00:00:00"/>
    <n v="166515.4"/>
    <n v="166515.4"/>
    <n v="166.5154"/>
    <d v="2022-12-29T00:00:00"/>
    <s v="Pago"/>
    <s v="ECO 024/2021"/>
    <s v="11ª Tranche"/>
    <s v="1ª"/>
    <s v="MA"/>
    <s v="Liberações"/>
    <n v="13302070"/>
    <n v="13302.07"/>
    <n v="9311450"/>
    <n v="9311.4500000000007"/>
    <n v="0.70000007517626961"/>
    <s v="LPT"/>
    <n v="-2504378.4300000002"/>
    <n v="-2504.3784300000002"/>
    <n v="-1"/>
  </r>
  <r>
    <d v="2022-12-01T00:00:00"/>
    <s v="EQUATORIAL"/>
    <s v="EQUATORIAL MARANHÃO"/>
    <s v="EQUATORIAL MARANHAO DISTRIBUIDORA DE ENERGIA S.A"/>
    <s v="06.272.793/0001-84"/>
    <s v="Programa Luz para Todos"/>
    <d v="2022-12-01T00:00:00"/>
    <n v="2164700.6"/>
    <n v="2164700.6"/>
    <n v="2164.7006000000001"/>
    <d v="2022-12-29T00:00:00"/>
    <s v="Pago"/>
    <s v="ECO 024/2021"/>
    <s v="11ª Tranche"/>
    <s v="1ª"/>
    <s v="MA"/>
    <s v="Liberações"/>
    <n v="0"/>
    <n v="0"/>
    <n v="0"/>
    <n v="0"/>
    <n v="0"/>
    <s v="LPT"/>
    <n v="0"/>
    <n v="0"/>
    <n v="0"/>
  </r>
  <r>
    <d v="2021-10-01T00:00:00"/>
    <s v="NEOENERGIA "/>
    <s v="COELBA"/>
    <s v="CENTRAIS ELETRICAS BRASILEIRAS SA ELETROBRAS"/>
    <s v="00.001.180/0002-07"/>
    <s v="Programa Luz para Todos"/>
    <d v="2021-10-01T00:00:00"/>
    <n v="544827213"/>
    <n v="544827213"/>
    <n v="544827.21299999999"/>
    <d v="2021-10-07T00:00:00"/>
    <s v="Pago"/>
    <s v="ECO 025/2021"/>
    <s v="11ª Tranche"/>
    <s v="1ª"/>
    <s v="BA"/>
    <s v="Liberações"/>
    <n v="931328570"/>
    <n v="931328.57"/>
    <n v="605363570"/>
    <n v="605363.56999999995"/>
    <n v="0.64999999946313258"/>
    <s v="LPT"/>
    <n v="0"/>
    <n v="0"/>
    <n v="0"/>
  </r>
  <r>
    <d v="2022-01-01T00:00:00"/>
    <s v="AMAZONAS ENERGIA"/>
    <s v="AMAZONAS ENERGIA"/>
    <s v="CENTRAIS ELETRICAS BRASILEIRAS SA ELETROBRAS"/>
    <s v="00.001.180/0002-07"/>
    <s v="Programa Luz para Todos"/>
    <d v="2022-01-01T00:00:00"/>
    <n v="2943602.8"/>
    <n v="2943602.8"/>
    <n v="2943.6027999999997"/>
    <d v="2022-01-20T00:00:00"/>
    <s v="Pago"/>
    <s v="ECO 026/2021"/>
    <s v="10ª Tranche"/>
    <s v="1ª "/>
    <s v="AM"/>
    <s v="Liberações"/>
    <n v="294243500"/>
    <n v="294243.5"/>
    <n v="264819150"/>
    <n v="264819.15000000002"/>
    <n v="0.9"/>
    <s v="LPT"/>
    <n v="-10036238.550000001"/>
    <n v="-10036.23855"/>
    <n v="-3.7898462214685007E-2"/>
  </r>
  <r>
    <d v="2022-01-01T00:00:00"/>
    <s v="AMAZONAS ENERGIA"/>
    <s v="AMAZONAS ENERGIA"/>
    <s v="AMAZONAS ENERGIA S.A"/>
    <s v="02.341.467/0001-20"/>
    <s v="Programa Luz para Todos"/>
    <d v="2022-01-01T00:00:00"/>
    <n v="50041247.200000003"/>
    <n v="50041247.200000003"/>
    <n v="50041.247200000005"/>
    <d v="2022-01-20T00:00:00"/>
    <s v="Pago"/>
    <s v="ECO 026/2021"/>
    <s v="10ª Tranche"/>
    <s v="1ª "/>
    <s v="AM"/>
    <s v="Liberações"/>
    <n v="0"/>
    <n v="0"/>
    <n v="0"/>
    <n v="0"/>
    <n v="0"/>
    <s v="LPT"/>
    <n v="0"/>
    <n v="0"/>
    <n v="0"/>
  </r>
  <r>
    <d v="2022-11-01T00:00:00"/>
    <s v="AMAZONAS ENERGIA"/>
    <s v="AMAZONAS ENERGIA"/>
    <s v="AMAZONAS ENERGIA S.A"/>
    <s v="02.341.467/0001-20"/>
    <s v="Programa Luz para Todos"/>
    <d v="2022-11-01T00:00:00"/>
    <n v="52984850"/>
    <n v="52984850"/>
    <n v="52984.85"/>
    <d v="2022-11-25T00:00:00"/>
    <s v="Pago"/>
    <s v="ECO 026/2021"/>
    <s v="10ª Tranche"/>
    <s v="2ª"/>
    <s v="AM"/>
    <s v="Liberações"/>
    <n v="0"/>
    <n v="0"/>
    <n v="0"/>
    <n v="0"/>
    <n v="0"/>
    <s v="LPT"/>
    <n v="0"/>
    <n v="0"/>
    <n v="0"/>
  </r>
  <r>
    <d v="2023-04-01T00:00:00"/>
    <s v="AMAZONAS ENERGIA"/>
    <s v="AMAZONAS ENERGIA"/>
    <s v="AMAZONAS ENERGIA S.A"/>
    <s v="02.341.467/0001-20"/>
    <s v="Programa Luz para Todos"/>
    <d v="2023-04-01T00:00:00"/>
    <n v="52984850"/>
    <n v="52984850"/>
    <n v="52984.85"/>
    <d v="2023-04-20T00:00:00"/>
    <s v="Pago"/>
    <s v="ECO 026/2021"/>
    <s v="10ª Tranche"/>
    <s v="3ª "/>
    <s v="AM"/>
    <s v="Liberações"/>
    <n v="0"/>
    <n v="0"/>
    <n v="0"/>
    <n v="0"/>
    <n v="0"/>
    <s v="LPT"/>
    <n v="0"/>
    <n v="0"/>
    <n v="0"/>
  </r>
  <r>
    <d v="2023-08-01T00:00:00"/>
    <s v="AMAZONAS ENERGIA"/>
    <s v="AMAZONAS ENERGIA"/>
    <s v="AMAZONAS ENERGIA S.A"/>
    <s v="02.341.467/0001-20"/>
    <s v="Programa Luz para Todos"/>
    <d v="2023-08-01T00:00:00"/>
    <n v="26492425"/>
    <n v="26492425"/>
    <n v="26492.424999999999"/>
    <d v="2023-08-25T00:00:00"/>
    <s v="Pago"/>
    <s v="ECO 026/2021"/>
    <s v="10ª Tranche"/>
    <s v="4ª"/>
    <s v="AM"/>
    <s v="Liberações"/>
    <n v="0"/>
    <n v="0"/>
    <n v="0"/>
    <n v="0"/>
    <n v="0"/>
    <s v="LPT"/>
    <n v="0"/>
    <n v="0"/>
    <n v="0"/>
  </r>
  <r>
    <d v="2023-10-01T00:00:00"/>
    <s v="AMAZONAS ENERGIA"/>
    <s v="AMAZONAS ENERGIA"/>
    <s v="AMAZONAS ENERGIA S.A"/>
    <s v="02.341.467/0001-20"/>
    <s v="Programa Luz para Todos"/>
    <d v="2023-09-02T00:00:00"/>
    <n v="26492425"/>
    <n v="26492425"/>
    <n v="26492.424999999999"/>
    <d v="2023-10-09T00:00:00"/>
    <s v="Pago"/>
    <s v="ECO 026/2021"/>
    <s v="10ª Tranche"/>
    <s v="5ª"/>
    <s v="AM"/>
    <s v="Liberações"/>
    <n v="0"/>
    <n v="0"/>
    <n v="0"/>
    <n v="0"/>
    <n v="0"/>
    <s v="LPT"/>
    <n v="0"/>
    <n v="0"/>
    <n v="0"/>
  </r>
  <r>
    <d v="2024-01-01T00:00:00"/>
    <s v="AMAZONAS ENERGIA"/>
    <s v="AMAZONAS ENERGIA"/>
    <s v="AMAZONAS ENERGIA S.A"/>
    <s v="02.341.467/0001-20"/>
    <s v="Programa Luz para Todos"/>
    <d v="2024-01-02T00:00:00"/>
    <n v="26492425"/>
    <n v="26492425"/>
    <n v="26492.424999999999"/>
    <d v="2024-01-19T00:00:00"/>
    <s v="Compensado"/>
    <s v="ECO 026/2021"/>
    <s v="10ª Tranche"/>
    <s v="6ª"/>
    <s v="AM"/>
    <s v="Liberações"/>
    <n v="0"/>
    <n v="0"/>
    <n v="0"/>
    <n v="0"/>
    <n v="0"/>
    <s v="LPT"/>
    <n v="0"/>
    <n v="0"/>
    <n v="0"/>
  </r>
  <r>
    <d v="2022-12-01T00:00:00"/>
    <s v="EQUATORIAL"/>
    <s v="EQUATORIAL PIAUI"/>
    <s v="CENTRAIS ELETRICAS BRASILEIRAS SA ELETROBRAS"/>
    <s v="00.001.180/0002-07"/>
    <s v="Programa Luz para Todos"/>
    <d v="2022-12-01T00:00:00"/>
    <n v="3553181.8"/>
    <n v="3553181.8"/>
    <n v="3553.1817999999998"/>
    <d v="2022-12-09T00:00:00"/>
    <s v="Pago"/>
    <s v="ECO 027/2021"/>
    <s v="7ª Tranche"/>
    <s v="1ª"/>
    <s v="PI"/>
    <s v="Liberações"/>
    <n v="355288130"/>
    <n v="355288.13"/>
    <n v="248701690"/>
    <n v="248701.69"/>
    <n v="0.69999999718538308"/>
    <s v="LPT"/>
    <n v="0"/>
    <n v="0"/>
    <n v="0"/>
  </r>
  <r>
    <d v="2022-12-01T00:00:00"/>
    <s v="EQUATORIAL"/>
    <s v="EQUATORIAL PIAUI"/>
    <s v="EQUATORIAL PIAUI DISTRIBUIDORA DE ENERGIA S.A"/>
    <s v="06.840.748/0001-89"/>
    <s v="Programa Luz para Todos"/>
    <d v="2022-12-01T00:00:00"/>
    <n v="46191362.200000003"/>
    <n v="46191362.200000003"/>
    <n v="46191.362200000003"/>
    <d v="2022-12-09T00:00:00"/>
    <s v="Pago"/>
    <s v="ECO 027/2021"/>
    <s v="7ª Tranche"/>
    <s v="1ª"/>
    <s v="PI"/>
    <s v="Liberações"/>
    <n v="0"/>
    <n v="0"/>
    <n v="0"/>
    <n v="0"/>
    <n v="0"/>
    <s v="LPT"/>
    <n v="0"/>
    <n v="0"/>
    <n v="0"/>
  </r>
  <r>
    <d v="2023-12-01T00:00:00"/>
    <s v="EQUATORIAL"/>
    <s v="EQUATORIAL PIAUI"/>
    <s v="EQUATORIAL PIAUI DISTRIBUIDORA DE ENERGIA S.A"/>
    <s v="06.840.748/0001-89"/>
    <s v="Programa Luz para Todos"/>
    <d v="2023-12-01T00:00:00"/>
    <n v="49744544"/>
    <n v="49744544"/>
    <n v="49744.544000000002"/>
    <d v="2023-12-28T00:00:00"/>
    <s v="Pago"/>
    <s v="ECO 027/2021"/>
    <s v="7ª Tranche"/>
    <s v="2ª"/>
    <s v="PI"/>
    <s v="Liberações"/>
    <n v="0"/>
    <n v="0"/>
    <n v="0"/>
    <n v="0"/>
    <n v="0"/>
    <s v="LPT"/>
    <n v="0"/>
    <n v="0"/>
    <n v="0"/>
  </r>
  <r>
    <d v="2023-12-01T00:00:00"/>
    <s v="EQUATORIAL"/>
    <s v="EQUATORIAL PIAUI"/>
    <s v="EQUATORIAL PIAUI DISTRIBUIDORA DE ENERGIA S.A"/>
    <s v="06.840.748/0001-89"/>
    <s v="Programa Luz para Todos"/>
    <d v="2023-12-01T00:00:00"/>
    <n v="49744544"/>
    <n v="49744544"/>
    <n v="49744.544000000002"/>
    <d v="2023-12-28T00:00:00"/>
    <s v="Pago"/>
    <s v="ECO 027/2021"/>
    <s v="7ª Tranche"/>
    <s v="3ª"/>
    <s v="PI"/>
    <s v="Liberações"/>
    <n v="0"/>
    <n v="0"/>
    <n v="0"/>
    <n v="0"/>
    <n v="0"/>
    <s v="LPT"/>
    <n v="0"/>
    <n v="0"/>
    <n v="0"/>
  </r>
  <r>
    <d v="2024-12-01T00:00:00"/>
    <s v="EQUATORIAL"/>
    <s v="EQUATORIAL PIAUI"/>
    <s v="EQUATORIAL PIAUI DISTRIBUIDORA DE ENERGIA S.A"/>
    <s v="06.840.748/0001-89"/>
    <s v="Programa Luz para Todos"/>
    <d v="2024-12-01T00:00:00"/>
    <n v="24872272"/>
    <n v="24872272"/>
    <n v="24872.272000000001"/>
    <d v="2024-12-13T00:00:00"/>
    <s v="Pago"/>
    <s v="ECO 027/2021"/>
    <s v="7ª Tranche"/>
    <s v="4ª"/>
    <s v="PI"/>
    <s v="Liberações"/>
    <n v="0"/>
    <n v="0"/>
    <n v="0"/>
    <n v="0"/>
    <n v="0"/>
    <s v="LPT"/>
    <n v="0"/>
    <n v="0"/>
    <n v="0"/>
  </r>
  <r>
    <d v="2024-12-01T00:00:00"/>
    <s v="EQUATORIAL"/>
    <s v="EQUATORIAL PIAUI"/>
    <s v="EQUATORIAL PIAUI DISTRIBUIDORA DE ENERGIA S.A"/>
    <s v="06.840.748/0001-89"/>
    <s v="Programa Luz para Todos"/>
    <d v="2024-12-01T00:00:00"/>
    <n v="24872272"/>
    <n v="24872272"/>
    <n v="24872.272000000001"/>
    <d v="2024-12-13T00:00:00"/>
    <s v="Pago"/>
    <s v="ECO 027/2021"/>
    <s v="7ª Tranche"/>
    <s v="5ª"/>
    <s v="PI"/>
    <s v="Liberações"/>
    <n v="0"/>
    <n v="0"/>
    <n v="0"/>
    <n v="0"/>
    <n v="0"/>
    <s v="LPT"/>
    <n v="0"/>
    <n v="0"/>
    <n v="0"/>
  </r>
  <r>
    <d v="2024-04-01T00:00:00"/>
    <s v="EQUATORIAL"/>
    <s v="EQUATORIAL PARÁ"/>
    <s v="CENTRAIS ELETRICAS BRASILEIRAS SA ELETROBRAS"/>
    <s v="00.001.180/0002-07"/>
    <s v="Programa Luz para Todos"/>
    <d v="2024-03-01T00:00:00"/>
    <n v="15753107.4"/>
    <n v="15753107.4"/>
    <n v="15753.107400000001"/>
    <d v="2024-04-11T00:00:00"/>
    <s v="Pago"/>
    <s v="ECO 028/2024"/>
    <s v="8ª Tranche"/>
    <s v="1ª"/>
    <s v="PA"/>
    <s v="Liberações"/>
    <n v="1562065530"/>
    <n v="1562065.53"/>
    <n v="1405858980"/>
    <n v="1405858.98"/>
    <n v="0.90000000192053398"/>
    <s v="LPT"/>
    <n v="0"/>
    <n v="0"/>
    <n v="0"/>
  </r>
  <r>
    <d v="2024-04-01T00:00:00"/>
    <s v="EQUATORIAL"/>
    <s v="EQUATORIAL PARÁ"/>
    <s v="EQUATORIAL PARA DISTRIBUIDORA DE ENERGIA S.A."/>
    <s v="04.895.728/0001-80"/>
    <s v="Programa Luz para Todos"/>
    <d v="2024-03-01T00:00:00"/>
    <n v="267802824.59999999"/>
    <n v="267802824.59999999"/>
    <n v="267802.82459999999"/>
    <d v="2024-04-11T00:00:00"/>
    <s v="Pago"/>
    <s v="ECO 028/2024"/>
    <s v="8ª Tranche"/>
    <s v="1ª"/>
    <s v="PA"/>
    <s v="Liberações"/>
    <n v="0"/>
    <n v="0"/>
    <n v="0"/>
    <n v="0"/>
    <n v="0"/>
    <s v="LPT"/>
    <n v="0"/>
    <n v="0"/>
    <n v="0"/>
  </r>
  <r>
    <d v="2024-12-01T00:00:00"/>
    <s v="EQUATORIAL"/>
    <s v="EQUATORIAL PARÁ"/>
    <s v="EQUATORIAL PARA DISTRIBUIDORA DE ENERGIA S.A."/>
    <s v="04.895.728/0001-80"/>
    <s v="Programa Luz para Todos"/>
    <d v="2024-12-01T00:00:00"/>
    <n v="283555932"/>
    <n v="283555932"/>
    <n v="283555.93199999997"/>
    <d v="2024-12-30T00:00:00"/>
    <s v="Pago"/>
    <s v="ECO 028/2024"/>
    <s v="8ª Tranche"/>
    <s v="2ª"/>
    <s v="PA"/>
    <s v="Liberações"/>
    <n v="0"/>
    <n v="0"/>
    <n v="0"/>
    <n v="0"/>
    <n v="0"/>
    <s v="LPT"/>
    <n v="0"/>
    <n v="0"/>
    <n v="0"/>
  </r>
  <r>
    <d v="2025-12-01T00:00:00"/>
    <s v="EQUATORIAL"/>
    <s v="EQUATORIAL PARÁ"/>
    <s v="EQUATORIAL PARA DISTRIBUIDORA DE ENERGIA S.A."/>
    <s v="04.895.728/0001-80"/>
    <s v="Programa Luz para Todos"/>
    <d v="2025-12-01T00:00:00"/>
    <n v="276403524"/>
    <n v="276403524"/>
    <n v="276403.52399999998"/>
    <d v="2025-12-23T00:00:00"/>
    <s v="Pago"/>
    <s v="ECO 028/2024"/>
    <s v="8ª Tranche"/>
    <s v="3ª"/>
    <s v="PA"/>
    <s v="Liberações"/>
    <n v="0"/>
    <n v="0"/>
    <n v="0"/>
    <n v="0"/>
    <n v="0"/>
    <s v="LPT"/>
    <n v="0"/>
    <n v="0"/>
    <n v="0"/>
  </r>
  <r>
    <d v="2024-12-01T00:00:00"/>
    <s v="EQUATORIAL"/>
    <s v="EQUATORIAL PIAUI"/>
    <s v="EQUATORIAL PIAUI DISTRIBUIDORA DE ENERGIA S.A"/>
    <s v="06.840.748/0001-89"/>
    <s v="Programa Luz para Todos"/>
    <d v="2024-12-01T00:00:00"/>
    <n v="15865361.800000001"/>
    <n v="15865361.800000001"/>
    <n v="15865.361800000001"/>
    <d v="2024-12-13T00:00:00"/>
    <s v="Pago"/>
    <s v="ECO 029/2024"/>
    <s v="8ª Tranche"/>
    <s v="1ª"/>
    <s v="PI"/>
    <s v="Liberações"/>
    <n v="61020620"/>
    <n v="61020.62"/>
    <n v="54918560"/>
    <n v="54918.559999999998"/>
    <n v="0.90000003277580598"/>
    <s v="LPT"/>
    <n v="0"/>
    <n v="0"/>
    <n v="0"/>
  </r>
  <r>
    <d v="2024-12-01T00:00:00"/>
    <s v="EQUATORIAL"/>
    <s v="EQUATORIAL PIAUI"/>
    <s v="EMPRESA BRASILEIRA DE PARTICIPACOES EM ENERGIA NUCLEAR E BINACIONAL S.A. - ENBPAR"/>
    <s v="43.913.162/0001-23"/>
    <s v="Programa Luz para Todos"/>
    <d v="2024-12-01T00:00:00"/>
    <n v="610206.19999999995"/>
    <n v="610206.19999999995"/>
    <n v="610.20619999999997"/>
    <d v="2024-12-13T00:00:00"/>
    <s v="Pago"/>
    <s v="ECO 029/2024"/>
    <s v="8ª Tranche"/>
    <s v="1ª"/>
    <s v="PI"/>
    <s v="Liberações"/>
    <n v="0"/>
    <n v="0"/>
    <n v="0"/>
    <n v="0"/>
    <n v="0"/>
    <s v="LPT"/>
    <n v="0"/>
    <n v="0"/>
    <n v="0"/>
  </r>
  <r>
    <d v="2025-07-01T00:00:00"/>
    <s v="EQUATORIAL"/>
    <s v="EQUATORIAL PIAUI"/>
    <s v="EQUATORIAL PIAUI DISTRIBUIDORA DE ENERGIA S.A"/>
    <s v="06.840.748/0001-89"/>
    <s v="Programa Luz para Todos"/>
    <d v="2025-07-26T00:00:00"/>
    <n v="10983712"/>
    <n v="10983712"/>
    <n v="10983.712"/>
    <d v="2025-07-25T00:00:00"/>
    <s v="Pago"/>
    <s v="ECO 029/2024"/>
    <s v="8ª Tranche"/>
    <s v="2ª"/>
    <s v="PI"/>
    <s v="Liberações"/>
    <n v="0"/>
    <n v="0"/>
    <n v="0"/>
    <n v="0"/>
    <n v="0"/>
    <s v="LPT"/>
    <n v="0"/>
    <n v="0"/>
    <n v="0"/>
  </r>
  <r>
    <d v="2024-12-01T00:00:00"/>
    <s v="ENERGISA"/>
    <s v="ENERGISA AC"/>
    <s v="ENERGISA ACRE - DISTRIBUIDORA DE ENERGIA S.A"/>
    <s v="04.065.033/0001-70"/>
    <s v="Programa Luz para Todos"/>
    <d v="2024-12-01T00:00:00"/>
    <n v="26415673.699999999"/>
    <n v="26415673.699999999"/>
    <n v="26415.673699999999"/>
    <d v="2024-12-13T00:00:00"/>
    <s v="Pago"/>
    <s v="ECO 030/2024"/>
    <s v="8ª Tranche"/>
    <s v="1ª"/>
    <s v="AC"/>
    <s v="Liberações"/>
    <n v="91088530"/>
    <n v="91088.53"/>
    <n v="81979680"/>
    <n v="81979.679999999993"/>
    <n v="0.90000003293499198"/>
    <s v="LPT"/>
    <n v="0"/>
    <n v="0"/>
    <n v="0"/>
  </r>
  <r>
    <d v="2024-12-01T00:00:00"/>
    <s v="ENERGISA"/>
    <s v="ENERGISA AC"/>
    <s v="EMPRESA BRASILEIRA DE PARTICIPACOES EM ENERGIA NUCLEAR E BINACIONAL S.A. - ENBPAR"/>
    <s v="43.913.162/0001-23"/>
    <s v="Programa Luz para Todos"/>
    <d v="2024-12-01T00:00:00"/>
    <n v="910885.3"/>
    <n v="910885.3"/>
    <n v="910.88530000000003"/>
    <d v="2024-12-13T00:00:00"/>
    <s v="Pago"/>
    <s v="ECO 030/2024"/>
    <s v="8ª Tranche"/>
    <s v="1ª"/>
    <s v="AC"/>
    <s v="Liberações"/>
    <n v="0"/>
    <n v="0"/>
    <n v="0"/>
    <n v="0"/>
    <n v="0"/>
    <s v="LPT"/>
    <n v="0"/>
    <n v="0"/>
    <n v="0"/>
  </r>
  <r>
    <d v="2025-06-01T00:00:00"/>
    <s v="ENERGISA"/>
    <s v="ENERGISA AC"/>
    <s v="ENERGISA ACRE - DISTRIBUIDORA DE ENERGIA S.A"/>
    <s v="04.065.033/0001-70"/>
    <s v="Programa Luz para Todos"/>
    <d v="2025-06-27T00:00:00"/>
    <n v="10930624.5"/>
    <n v="10930624.5"/>
    <n v="10930.6245"/>
    <d v="2025-06-27T00:00:00"/>
    <s v="Pago"/>
    <s v="ECO 030/2024"/>
    <s v="8ª Tranche"/>
    <s v="2ª"/>
    <s v="AC"/>
    <s v="Liberações"/>
    <n v="0"/>
    <n v="0"/>
    <n v="0"/>
    <n v="0"/>
    <n v="0"/>
    <s v="LPT"/>
    <n v="0"/>
    <n v="0"/>
    <n v="0"/>
  </r>
  <r>
    <d v="2025-06-01T00:00:00"/>
    <s v="ENERGISA"/>
    <s v="ENERGISA AC"/>
    <s v="ENERGISA ACRE - DISTRIBUIDORA DE ENERGIA S.A"/>
    <s v="04.065.033/0001-70"/>
    <s v="Programa Luz para Todos"/>
    <d v="2025-06-27T00:00:00"/>
    <n v="10930624.5"/>
    <n v="10930624.5"/>
    <n v="10930.6245"/>
    <d v="2025-06-27T00:00:00"/>
    <s v="Pago"/>
    <s v="ECO 030/2024"/>
    <s v="8ª Tranche"/>
    <s v="3ª"/>
    <s v="AC"/>
    <s v="Liberações"/>
    <n v="0"/>
    <n v="0"/>
    <n v="0"/>
    <n v="0"/>
    <n v="0"/>
    <s v="LPT"/>
    <n v="0"/>
    <n v="0"/>
    <n v="0"/>
  </r>
  <r>
    <d v="2025-09-01T00:00:00"/>
    <s v="ENERGISA"/>
    <s v="ENERGISA AC"/>
    <s v="ENERGISA ACRE - DISTRIBUIDORA DE ENERGIA S.A"/>
    <s v="04.065.033/0001-70"/>
    <s v="Programa Luz para Todos"/>
    <d v="2025-08-01T00:00:00"/>
    <n v="8197968"/>
    <n v="8197968"/>
    <n v="8197.9680000000008"/>
    <d v="2025-09-05T00:00:00"/>
    <s v="Pago"/>
    <s v="ECO 030/2024"/>
    <s v="8ª Tranche"/>
    <s v="4ª"/>
    <s v="AC"/>
    <s v="Liberações"/>
    <n v="0"/>
    <n v="0"/>
    <n v="0"/>
    <n v="0"/>
    <n v="0"/>
    <s v="LPT"/>
    <n v="0"/>
    <n v="0"/>
    <n v="0"/>
  </r>
  <r>
    <d v="2025-09-01T00:00:00"/>
    <s v="ENERGISA"/>
    <s v="ENERGISA AC"/>
    <s v="ENERGISA ACRE - DISTRIBUIDORA DE ENERGIA S.A"/>
    <s v="04.065.033/0001-70"/>
    <s v="Programa Luz para Todos"/>
    <d v="2025-08-01T00:00:00"/>
    <n v="8197968"/>
    <n v="8197968"/>
    <n v="8197.9680000000008"/>
    <d v="2025-09-05T00:00:00"/>
    <s v="Pago"/>
    <s v="ECO 030/2024"/>
    <s v="8ª Tranche"/>
    <s v="5ª"/>
    <s v="AC"/>
    <s v="Liberações"/>
    <n v="0"/>
    <n v="0"/>
    <n v="0"/>
    <n v="0"/>
    <n v="0"/>
    <s v="LPT"/>
    <n v="0"/>
    <n v="0"/>
    <n v="0"/>
  </r>
  <r>
    <d v="2025-12-01T00:00:00"/>
    <s v="NEOENERGIA "/>
    <s v="COELBA"/>
    <s v="COMPANHIA DE ELETRICIDADE DO ESTADO DA BAHIA COELBA"/>
    <s v="15.139.629/0001-94"/>
    <s v="Programa Luz para Todos"/>
    <d v="2025-12-01T00:00:00"/>
    <n v="268453179.60000002"/>
    <n v="268453179.60000002"/>
    <n v="268453.17960000003"/>
    <d v="2025-12-16T00:00:00"/>
    <s v="Pago"/>
    <s v="ECO 031/2025"/>
    <s v="12ª Tranche"/>
    <s v="1ª"/>
    <s v="BA"/>
    <s v="Liberações"/>
    <n v="1167187740"/>
    <n v="1167187.74"/>
    <n v="933750190"/>
    <n v="933750.19"/>
    <n v="0.79999999828647961"/>
    <s v="LPT"/>
    <n v="0"/>
    <n v="0"/>
    <n v="0"/>
  </r>
  <r>
    <d v="2025-12-01T00:00:00"/>
    <s v="NEOENERGIA "/>
    <s v="COELBA"/>
    <s v="EMPRESA BRASILEIRA DE PARTICIPACOES EM ENERGIA NUCLEAR E BINACIONAL S.A. - ENBPAR"/>
    <s v="43.913.162/0001-23"/>
    <s v="Programa Luz para Todos"/>
    <d v="2025-12-01T00:00:00"/>
    <n v="11671877.4"/>
    <n v="11671877.4"/>
    <n v="11671.877400000001"/>
    <d v="2025-12-16T00:00:00"/>
    <s v="Pago"/>
    <s v="ECO 031/2025"/>
    <s v="12ª Tranche"/>
    <s v="1ª"/>
    <s v="BA"/>
    <s v="Liberações"/>
    <n v="0"/>
    <n v="0"/>
    <n v="0"/>
    <n v="0"/>
    <n v="0"/>
    <s v="LPT"/>
    <n v="0"/>
    <n v="0"/>
    <n v="0"/>
  </r>
  <r>
    <d v="2025-06-01T00:00:00"/>
    <s v="RORAIMA ENERGIA"/>
    <s v="RORAIMA ENERGIA"/>
    <s v="RORAIMA ENERGIA S.A"/>
    <s v="02.341.470/0001-44"/>
    <s v="Programa Luz para Todos"/>
    <d v="2025-06-27T00:00:00"/>
    <n v="61864951.200000003"/>
    <n v="61864951.200000003"/>
    <n v="61864.951200000003"/>
    <d v="2025-06-06T00:00:00"/>
    <s v="Pago"/>
    <s v="ECO 032/2025"/>
    <s v="6ª Tranche"/>
    <s v="1ª"/>
    <s v="RR"/>
    <s v="Liberações"/>
    <n v="237942120"/>
    <n v="237942.12"/>
    <n v="214147908"/>
    <n v="214147.908"/>
    <n v="0.9"/>
    <s v="LPT"/>
    <n v="0"/>
    <n v="0"/>
    <n v="0"/>
  </r>
  <r>
    <d v="2025-06-01T00:00:00"/>
    <s v="RORAIMA ENERGIA"/>
    <s v="RORAIMA ENERGIA"/>
    <s v="EMPRESA BRASILEIRA DE PARTICIPACOES EM ENERGIA NUCLEAR E BINACIONAL S.A. - ENBPAR"/>
    <s v="43.913.162/0001-23"/>
    <s v="Programa Luz para Todos"/>
    <d v="2025-06-27T00:00:00"/>
    <n v="2379421.2000000002"/>
    <n v="2379421.2000000002"/>
    <n v="2379.4212000000002"/>
    <d v="2025-06-06T00:00:00"/>
    <s v="Pago"/>
    <s v="ECO 032/2025"/>
    <s v="5ª Tranche"/>
    <s v="1ª"/>
    <s v="RR"/>
    <s v="Liberações"/>
    <n v="0"/>
    <n v="0"/>
    <n v="0"/>
    <n v="0"/>
    <n v="0"/>
    <s v="LPT"/>
    <n v="0"/>
    <n v="0"/>
    <n v="0"/>
  </r>
  <r>
    <d v="2025-09-01T00:00:00"/>
    <s v="CERCI"/>
    <s v="CERCI"/>
    <s v="COOPERATIVA DE ELETRIFICACAO RURAL CACHOEIRAS ITABORAI LTDA"/>
    <s v="27.707.397/0001-02"/>
    <s v="Programa Luz para Todos"/>
    <d v="2025-09-01T00:00:00"/>
    <n v="685839.3"/>
    <n v="685839.3"/>
    <n v="685.83930000000009"/>
    <d v="2025-09-12T00:00:00"/>
    <s v="Pago"/>
    <s v="ECO 033/2025"/>
    <s v="3ª Tranche"/>
    <s v="1ª"/>
    <s v="RJ"/>
    <s v="Liberações"/>
    <n v="2981910"/>
    <n v="2981.91"/>
    <n v="2385528"/>
    <n v="2385.5279999999998"/>
    <n v="0.8"/>
    <s v="LPT"/>
    <n v="0"/>
    <n v="0"/>
    <n v="0"/>
  </r>
  <r>
    <d v="2025-09-01T00:00:00"/>
    <s v="CERCI"/>
    <s v="CERCI"/>
    <s v="EMPRESA BRASILEIRA DE PARTICIPACOES EM ENERGIA NUCLEAR E BINACIONAL S.A. - ENBPAR"/>
    <s v="43.913.162/0001-23"/>
    <s v="Programa Luz para Todos"/>
    <d v="2025-09-01T00:00:00"/>
    <n v="29819.1"/>
    <n v="29819.1"/>
    <n v="29.819099999999999"/>
    <d v="2025-09-12T00:00:00"/>
    <s v="Pago"/>
    <s v="ECO 033/2025"/>
    <s v="3ª Tranche"/>
    <s v="1ª"/>
    <s v="RJ"/>
    <s v="Liberações"/>
    <n v="0"/>
    <n v="0"/>
    <n v="0"/>
    <n v="0"/>
    <n v="0"/>
    <s v="LPT"/>
    <n v="0"/>
    <n v="0"/>
    <n v="0"/>
  </r>
  <r>
    <d v="2025-09-01T00:00:00"/>
    <s v="ENERGISA"/>
    <s v="ENERGISA RO"/>
    <s v="ENERGISA RONDONIA - DISTRIBUIDORA DE ENERGIA S.A"/>
    <s v="05.914.650/0001-66"/>
    <s v="Programa Luz para Todos"/>
    <d v="2025-09-01T00:00:00"/>
    <n v="45234441.799999997"/>
    <n v="45234441.799999997"/>
    <n v="45234.441800000001"/>
    <d v="2025-09-30T00:00:00"/>
    <s v="Pago"/>
    <s v="ECO 035/2025"/>
    <s v="8ª Tranche"/>
    <s v="1ª"/>
    <s v="RO"/>
    <s v="Liberações"/>
    <n v="173978620"/>
    <n v="173978.62"/>
    <n v="156580760"/>
    <n v="156580.76"/>
    <n v="0.90000001149566544"/>
    <s v="LPT"/>
    <n v="0"/>
    <n v="0"/>
    <n v="0"/>
  </r>
  <r>
    <d v="2025-09-01T00:00:00"/>
    <s v="RORAIMA ENERGIA"/>
    <s v="RORAIMA ENERGIA"/>
    <s v="EMPRESA BRASILEIRA DE PARTICIPACOES EM ENERGIA NUCLEAR E BINACIONAL S.A. - ENBPAR"/>
    <s v="43.913.162/0001-23"/>
    <s v="Programa Luz para Todos"/>
    <d v="2025-09-01T00:00:00"/>
    <n v="1739786.2"/>
    <n v="1739786.2"/>
    <n v="1739.7862"/>
    <d v="2025-09-30T00:00:00"/>
    <s v="Pago"/>
    <s v="ECO 035/2025"/>
    <s v="8ª Tranche"/>
    <s v="1ª"/>
    <s v="RR"/>
    <s v="Liberações"/>
    <n v="0"/>
    <n v="0"/>
    <n v="0"/>
    <n v="0"/>
    <n v="0"/>
    <s v="LPT"/>
    <n v="0"/>
    <n v="0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31316152"/>
    <n v="31316152"/>
    <n v="31316.151999999998"/>
    <d v="2025-12-19T00:00:00"/>
    <s v="Pago"/>
    <s v="ECO 035/2025"/>
    <s v="8ª Tranche"/>
    <s v="2ª"/>
    <s v="RO"/>
    <s v="Liberações"/>
    <n v="0"/>
    <n v="0"/>
    <n v="0"/>
    <n v="0"/>
    <n v="0"/>
    <s v="LPT"/>
    <n v="0"/>
    <n v="0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15658076"/>
    <n v="15658076"/>
    <n v="15658.075999999999"/>
    <d v="2025-12-19T00:00:00"/>
    <s v="Pago"/>
    <s v="ECO 035/2025"/>
    <s v="8ª Tranche"/>
    <s v="3ª"/>
    <s v="RO"/>
    <s v="Liberações"/>
    <n v="0"/>
    <n v="0"/>
    <n v="0"/>
    <n v="0"/>
    <n v="0"/>
    <s v="LPT"/>
    <n v="0"/>
    <n v="0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15658076"/>
    <n v="15658076"/>
    <n v="15658.075999999999"/>
    <d v="2025-12-19T00:00:00"/>
    <s v="Pago"/>
    <s v="ECO 035/2025"/>
    <s v="8ª Tranche"/>
    <s v="4ª"/>
    <s v="RO"/>
    <s v="Liberações"/>
    <n v="0"/>
    <n v="0"/>
    <n v="0"/>
    <n v="0"/>
    <n v="0"/>
    <s v="LPT"/>
    <n v="0"/>
    <n v="0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15658076"/>
    <n v="15658076"/>
    <n v="15658.075999999999"/>
    <d v="2025-12-19T00:00:00"/>
    <s v="Pago"/>
    <s v="ECO 035/2025"/>
    <s v="8ª Tranche"/>
    <s v="5ª"/>
    <s v="RO"/>
    <s v="Liberações"/>
    <n v="0"/>
    <n v="0"/>
    <n v="0"/>
    <n v="0"/>
    <n v="0"/>
    <s v="LPT"/>
    <n v="0"/>
    <n v="0"/>
    <n v="0"/>
  </r>
  <r>
    <d v="2025-12-01T00:00:00"/>
    <s v="EQUATORIAL"/>
    <s v="EQUATORIAL MARANHÃO"/>
    <s v="EQUATORIAL MARANHAO DISTRIBUIDORA DE ENERGIA S.A"/>
    <s v="06.272.793/0001-84"/>
    <s v="Programa Luz para Todos"/>
    <d v="2025-12-01T00:00:00"/>
    <n v="165469719.40000001"/>
    <n v="165469719.40000001"/>
    <n v="165469.7194"/>
    <d v="2025-12-19T00:00:00"/>
    <s v="Pago"/>
    <s v="ECO 036/2025"/>
    <s v="12ª Tranche"/>
    <s v="1ª"/>
    <s v="MA"/>
    <s v="Liberações"/>
    <n v="719433560"/>
    <n v="719433.56"/>
    <n v="575546850"/>
    <n v="575546.85"/>
    <n v="0.80000000277996486"/>
    <s v="LPT"/>
    <n v="0"/>
    <n v="0"/>
    <n v="0"/>
  </r>
  <r>
    <d v="2025-12-01T00:00:00"/>
    <s v="EQUATORIAL"/>
    <s v="EQUATORIAL MARANHÃO"/>
    <s v="EMPRESA BRASILEIRA DE PARTICIPACOES EM ENERGIA NUCLEAR E BINACIONAL S.A. - ENBPAR"/>
    <s v="43.913.162/0001-23"/>
    <s v="Programa Luz para Todos"/>
    <d v="2025-12-01T00:00:00"/>
    <n v="7194335.5999999996"/>
    <n v="7194335.5999999996"/>
    <n v="7194.3355999999994"/>
    <d v="2025-12-19T00:00:00"/>
    <s v="Pago"/>
    <s v="ECO 036/2025"/>
    <s v="12ª Tranche"/>
    <s v="1ª"/>
    <s v="MA"/>
    <s v="Liberações"/>
    <n v="0"/>
    <n v="0"/>
    <n v="0"/>
    <n v="0"/>
    <n v="0"/>
    <s v="LPT"/>
    <n v="0"/>
    <n v="0"/>
    <n v="0"/>
  </r>
  <r>
    <d v="2025-12-01T00:00:00"/>
    <s v="ENERGISA"/>
    <s v="ENERGISA PB"/>
    <s v="ENERGISA PARAIBA - DISTRIBUIDORA DE ENERGIA S.A"/>
    <s v="09.095.183/0001-40"/>
    <s v="Programa Luz para Todos"/>
    <d v="2025-12-01T00:00:00"/>
    <n v="408117.8"/>
    <n v="408117.8"/>
    <n v="408.11779999999999"/>
    <d v="2025-12-15T00:00:00"/>
    <s v="Pago"/>
    <s v="ECO 037/2025"/>
    <s v="7ª Tranche"/>
    <s v="1ª"/>
    <s v="PB"/>
    <s v="Liberações"/>
    <n v="1774420"/>
    <n v="1774.42"/>
    <n v="1419540"/>
    <n v="1419.54"/>
    <n v="0.80000225425772931"/>
    <s v="LPT"/>
    <n v="0"/>
    <n v="0"/>
    <n v="0"/>
  </r>
  <r>
    <d v="2025-12-01T00:00:00"/>
    <s v="ENERGISA"/>
    <s v="ENERGISA PB"/>
    <s v="EMPRESA BRASILEIRA DE PARTICIPACOES EM ENERGIA NUCLEAR E BINACIONAL S.A. - ENBPAR"/>
    <s v="43.913.162/0001-23"/>
    <s v="Programa Luz para Todos"/>
    <d v="2025-12-01T00:00:00"/>
    <n v="17744.2"/>
    <n v="17744.2"/>
    <n v="17.744199999999999"/>
    <d v="2025-12-15T00:00:00"/>
    <s v="Pago"/>
    <s v="ECO 037/2025"/>
    <s v="7ª Tranche"/>
    <s v="1ª"/>
    <s v="PB"/>
    <s v="Liberações"/>
    <n v="0"/>
    <n v="0"/>
    <n v="0"/>
    <n v="0"/>
    <n v="0"/>
    <s v="LPT"/>
    <n v="0"/>
    <n v="0"/>
    <n v="0"/>
  </r>
  <r>
    <d v="2026-02-01T00:00:00"/>
    <s v="EQUATORIAL"/>
    <s v="EQUATORIAL PIAUI"/>
    <s v="EQUATORIAL PIAUI DISTRIBUIDORA DE ENERGIA S.A"/>
    <s v="06.840.748/0001-89"/>
    <s v="Programa Luz para Todos"/>
    <d v="2026-02-01T00:00:00"/>
    <n v="126085139.59999999"/>
    <n v="126085139.59999999"/>
    <n v="126085.13959999999"/>
    <d v="2026-02-13T00:00:00"/>
    <s v="Pago"/>
    <s v="ECO 038/2025"/>
    <s v="9ª Tranche"/>
    <s v="1ª"/>
    <s v="PI"/>
    <s v="Liberações"/>
    <n v="484942840"/>
    <n v="484942.84"/>
    <n v="436448560"/>
    <n v="436448.56"/>
    <n v="0.90000000824839477"/>
    <s v="LPT"/>
    <n v="0"/>
    <n v="0"/>
    <n v="0"/>
  </r>
  <r>
    <d v="2026-02-01T00:00:00"/>
    <s v="EQUATORIAL"/>
    <s v="EQUATORIAL PIAUI"/>
    <s v="EMPRESA BRASILEIRA DE PARTICIPACOES EM ENERGIA NUCLEAR E BINACIONAL S.A. - ENBPAR"/>
    <s v="43.913.162/0001-23"/>
    <s v="Programa Luz para Todos"/>
    <d v="2026-02-01T00:00:00"/>
    <n v="4849428.4000000004"/>
    <n v="4849428.4000000004"/>
    <n v="4849.4284000000007"/>
    <d v="2026-02-13T00:00:00"/>
    <s v="Pago"/>
    <s v="ECO 038/2025"/>
    <s v="9ª Tranche"/>
    <s v="1ª"/>
    <s v="PI"/>
    <s v="Liberações"/>
    <n v="0"/>
    <n v="0"/>
    <n v="0"/>
    <n v="0"/>
    <n v="0"/>
    <s v="LPT"/>
    <n v="0"/>
    <n v="0"/>
    <n v="0"/>
  </r>
  <r>
    <d v="2026-02-01T00:00:00"/>
    <s v="EQUATORIAL"/>
    <s v="EQUATORIAL GOIÁS"/>
    <s v="EQUATORIAL GOIAS DISTRIBUIDORA DE ENERGIA S/A"/>
    <s v="01.543.032/0001-04"/>
    <s v="Programa Luz para Todos"/>
    <d v="2026-01-01T00:00:00"/>
    <n v="12759707.1"/>
    <n v="12759707.1"/>
    <n v="12759.7071"/>
    <d v="2026-02-06T00:00:00"/>
    <s v="Pago"/>
    <s v="ECO 039/2025"/>
    <s v="6ª Tranche"/>
    <s v="1ª"/>
    <s v="GO"/>
    <s v="Liberações"/>
    <n v="55476990"/>
    <n v="55476.99"/>
    <n v="44381590"/>
    <n v="44381.59"/>
    <n v="0.7999999639490174"/>
    <s v="LPT"/>
    <n v="0"/>
    <n v="0"/>
    <n v="0"/>
  </r>
  <r>
    <d v="2026-02-01T00:00:00"/>
    <s v="EQUATORIAL"/>
    <s v="EQUATORIAL GOIÁS"/>
    <s v="EMPRESA BRASILEIRA DE PARTICIPACOES EM ENERGIA NUCLEAR E BINACIONAL S.A. - ENBPAR"/>
    <s v="43.913.162/0001-23"/>
    <s v="Programa Luz para Todos"/>
    <d v="2026-01-01T00:00:00"/>
    <n v="554769.9"/>
    <n v="554769.9"/>
    <n v="554.76990000000001"/>
    <d v="2026-02-06T00:00:00"/>
    <s v="Pago"/>
    <s v="ECO 039/2025"/>
    <s v="6ª Tranche"/>
    <s v="1ª"/>
    <s v="GO"/>
    <s v="Liberações"/>
    <n v="0"/>
    <n v="0"/>
    <n v="0"/>
    <n v="0"/>
    <n v="0"/>
    <s v="LPT"/>
    <n v="0"/>
    <n v="0"/>
    <n v="0"/>
  </r>
  <r>
    <d v="2026-02-01T00:00:00"/>
    <s v="EQUATORIAL"/>
    <s v="EQUATORIAL AMAPÁ"/>
    <s v="COMPANHIA DE ELETRICIDADE DO AMAPA CEA"/>
    <s v="05.965.546/0001-09"/>
    <s v="Programa Luz para Todos"/>
    <d v="2026-02-01T00:00:00"/>
    <n v="23739155.600000001"/>
    <n v="23739155.600000001"/>
    <n v="23739.155600000002"/>
    <d v="2026-02-27T00:00:00"/>
    <s v="Pago"/>
    <s v="ECO 040/2025"/>
    <s v="2ª Tranche"/>
    <s v="1ª"/>
    <s v="AP"/>
    <s v="Liberações"/>
    <n v="91304440"/>
    <n v="91304.44"/>
    <n v="82174000"/>
    <n v="82174"/>
    <n v="0.90000004380947962"/>
    <s v="LPT"/>
    <n v="0"/>
    <n v="0"/>
    <n v="0"/>
  </r>
  <r>
    <d v="2026-02-01T00:00:00"/>
    <s v="EQUATORIAL"/>
    <s v="EQUATORIAL AMAPÁ"/>
    <s v="EMPRESA BRASILEIRA DE PARTICIPACOES EM ENERGIA NUCLEAR E BINACIONAL S.A. - ENBPAR"/>
    <s v="43.913.162/0001-23"/>
    <s v="Programa Luz para Todos"/>
    <d v="2026-02-01T00:00:00"/>
    <n v="913044.4"/>
    <n v="913044.4"/>
    <n v="913.0444"/>
    <d v="2026-02-27T00:00:00"/>
    <s v="Pago"/>
    <s v="ECO 040/2025"/>
    <s v="2ª Tranche"/>
    <s v="1ª"/>
    <s v="AP"/>
    <s v="Liberações"/>
    <n v="0"/>
    <n v="0"/>
    <n v="0"/>
    <n v="0"/>
    <n v="0"/>
    <s v="LPT"/>
    <n v="0"/>
    <n v="0"/>
    <n v="0"/>
  </r>
  <r>
    <d v="2026-02-01T00:00:00"/>
    <s v="ENERGISA"/>
    <s v="ENERGISA RO"/>
    <s v="ENERGISA RONDONIA - DISTRIBUIDORA DE ENERGIA S.A"/>
    <s v="05.914.650/0001-66"/>
    <s v="Programa Luz para Todos"/>
    <d v="2026-02-01T00:00:00"/>
    <n v="13101920"/>
    <n v="13101920"/>
    <n v="13101.92"/>
    <d v="2026-02-13T00:00:00"/>
    <s v="Pago"/>
    <s v="ECO 041/2025"/>
    <s v="9ª Tranche"/>
    <s v="1ª"/>
    <s v="RO"/>
    <s v="Liberações"/>
    <n v="50392000"/>
    <n v="50392"/>
    <n v="45352800"/>
    <n v="45352.800000000003"/>
    <n v="0.9"/>
    <s v="LPT"/>
    <n v="0"/>
    <n v="0"/>
    <n v="0"/>
  </r>
  <r>
    <d v="2026-02-01T00:00:00"/>
    <s v="ENERGISA"/>
    <s v="ENERGISA RO"/>
    <s v="EMPRESA BRASILEIRA DE PARTICIPACOES EM ENERGIA NUCLEAR E BINACIONAL S.A. - ENBPAR"/>
    <s v="43.913.162/0001-23"/>
    <s v="Programa Luz para Todos"/>
    <d v="2026-02-01T00:00:00"/>
    <n v="503920"/>
    <n v="503920"/>
    <n v="503.92"/>
    <d v="2026-02-13T00:00:00"/>
    <s v="Pago"/>
    <s v="ECO 041/2025"/>
    <s v="9ª Tranche"/>
    <s v="1ª"/>
    <s v="RO"/>
    <s v="Liberações"/>
    <n v="0"/>
    <n v="0"/>
    <n v="0"/>
    <n v="0"/>
    <n v="0"/>
    <s v="LPT"/>
    <n v="0"/>
    <n v="0"/>
    <n v="0"/>
  </r>
  <r>
    <d v="2025-12-01T00:00:00"/>
    <s v="EQUATORIAL"/>
    <s v="EQUATORIAL AMAPÁ"/>
    <s v="Companhia de Eletricidade do Amapá – CEA Equatorial Amapá"/>
    <s v="05.965.546/0001-09"/>
    <s v="Programa Luz para Todos"/>
    <d v="2025-12-01T00:00:00"/>
    <n v="0"/>
    <n v="0"/>
    <n v="0"/>
    <d v="2025-12-15T00:00:00"/>
    <s v="Pago"/>
    <s v="ECO 042/2025"/>
    <s v="3ª Tranche"/>
    <n v="0"/>
    <s v="AP"/>
    <s v="Liberações"/>
    <n v="9029480"/>
    <n v="9029.48"/>
    <n v="8126530"/>
    <n v="8126.53"/>
    <n v="0.89999977850330248"/>
    <s v="LPT"/>
    <n v="0"/>
    <n v="0"/>
    <n v="0"/>
  </r>
  <r>
    <d v="2026-02-01T00:00:00"/>
    <s v="ENERGISA"/>
    <s v="ENERGISA AC"/>
    <s v="ENERGISA ACRE - DISTRIBUIDORA DE ENERGIA S.A"/>
    <s v="04.065.033/0001-70"/>
    <s v="Programa Luz para Todos"/>
    <d v="2026-02-01T00:00:00"/>
    <n v="7496684"/>
    <n v="7496684"/>
    <n v="7496.6840000000002"/>
    <d v="2026-02-13T00:00:00"/>
    <s v="Pago"/>
    <s v="ECO 043/2025"/>
    <s v="9ª Tranche"/>
    <s v="1ª"/>
    <s v="AC"/>
    <s v="Liberações"/>
    <n v="28833400"/>
    <n v="28833.4"/>
    <n v="25950060"/>
    <n v="25950.06"/>
    <n v="0.9"/>
    <s v="LPT"/>
    <n v="0"/>
    <n v="0"/>
    <n v="0"/>
  </r>
  <r>
    <d v="2026-02-01T00:00:00"/>
    <s v="ENERGISA"/>
    <s v="ENERGISA AC"/>
    <s v="EMPRESA BRASILEIRA DE PARTICIPACOES EM ENERGIA NUCLEAR E BINACIONAL S.A. - ENBPAR"/>
    <s v="43.913.162/0001-23"/>
    <s v="Programa Luz para Todos"/>
    <d v="2026-02-01T00:00:00"/>
    <n v="288334"/>
    <n v="288334"/>
    <n v="288.334"/>
    <d v="2026-02-13T00:00:00"/>
    <s v="Pago"/>
    <s v="ECO 043/2025"/>
    <s v="9ª Tranche"/>
    <s v="1ª"/>
    <s v="AC"/>
    <s v="Liberações"/>
    <n v="0"/>
    <n v="0"/>
    <n v="0"/>
    <n v="0"/>
    <n v="0"/>
    <s v="LPT"/>
    <n v="0"/>
    <n v="0"/>
    <n v="0"/>
  </r>
  <r>
    <d v="2010-01-27T00:00:00"/>
    <s v="EQUATORIAL"/>
    <s v="EQUATORIAL PIAUI"/>
    <s v="EQUATORIAL PIAUI DISTRIBUIDORA DE ENERGIA S.A"/>
    <s v="06.840.748/0001-89"/>
    <s v="Programa Luz para Todos"/>
    <d v="2010-01-27T00:00:00"/>
    <n v="227479842"/>
    <n v="227479842"/>
    <n v="227479.842"/>
    <d v="2010-01-27T00:00:00"/>
    <s v="Pago"/>
    <s v="ECOT 001/2018"/>
    <s v="4ª Tranche"/>
    <n v="0"/>
    <s v="PI"/>
    <s v="Liberações"/>
    <n v="280839240"/>
    <n v="280839.24"/>
    <n v="252755320"/>
    <n v="252755.32"/>
    <n v="0.90000001424302389"/>
    <s v="LPT"/>
    <n v="-36808422.619999997"/>
    <n v="-36808.422619999998"/>
    <n v="-0.14562867606505769"/>
  </r>
  <r>
    <d v="2017-08-01T00:00:00"/>
    <s v="EQUATORIAL"/>
    <s v="EQUATORIAL PIAUI"/>
    <s v="EQUATORIAL PIAUI DISTRIBUIDORA DE ENERGIA S.A"/>
    <s v="06.840.748/0001-89"/>
    <s v="Programa Luz para Todos"/>
    <d v="2017-08-01T00:00:00"/>
    <n v="133479387"/>
    <n v="133479387"/>
    <n v="133479.38699999999"/>
    <s v="Sistema Antigo"/>
    <s v="Pago"/>
    <s v="ECOT 002/2017"/>
    <s v="5ª Tranche"/>
    <s v="2ª"/>
    <s v="PI"/>
    <s v="Liberações"/>
    <n v="164367250"/>
    <n v="164367.25"/>
    <n v="147930520"/>
    <n v="147930.51999999999"/>
    <n v="0.89999996958031481"/>
    <s v="LPT"/>
    <n v="-17035987.170000002"/>
    <n v="-17035.98717"/>
    <n v="-0.11516208534925722"/>
  </r>
  <r>
    <d v="2017-09-01T00:00:00"/>
    <s v="AMAZONAS ENERGIA"/>
    <s v="AMAZONAS ENERGIA"/>
    <s v="AMAZONAS ENERGIA S.A"/>
    <s v="02.341.467/0001-20"/>
    <s v="Programa Luz para Todos"/>
    <d v="2017-09-01T00:00:00"/>
    <n v="39064194"/>
    <n v="39064194"/>
    <n v="39064.194000000003"/>
    <s v="Sistema Antigo"/>
    <s v="Pago"/>
    <s v="ECOT 003/2017"/>
    <s v="7ª Tranche"/>
    <s v="4ª"/>
    <s v="AM"/>
    <s v="Liberações"/>
    <n v="217023300"/>
    <n v="217023.3"/>
    <n v="195320970"/>
    <n v="195320.97"/>
    <n v="0.9"/>
    <s v="LPT"/>
    <n v="-23405550.629999999"/>
    <n v="-23405.550629999998"/>
    <n v="-0.11983122257686923"/>
  </r>
  <r>
    <d v="2023-08-01T00:00:00"/>
    <s v="EQUATORIAL"/>
    <s v="EQUATORIAL PARÁ"/>
    <s v="EQUATORIAL PARA DISTRIBUIDORA DE ENERGIA S.A."/>
    <s v="04.895.728/0001-80"/>
    <s v="Programa Luz para Todos"/>
    <d v="2023-08-01T00:00:00"/>
    <n v="5367619.34"/>
    <n v="5367619.34"/>
    <n v="5367.6193400000002"/>
    <d v="2023-08-10T00:00:00"/>
    <s v="Pago"/>
    <s v="ECOT 004/2017"/>
    <s v="5ª Tranche"/>
    <s v="parcela final"/>
    <s v="PA"/>
    <s v="Liberações"/>
    <n v="394876300"/>
    <n v="394876.3"/>
    <n v="296157230"/>
    <n v="296157.23"/>
    <n v="0.75000001266219318"/>
    <s v="LPT"/>
    <n v="-1309703.73"/>
    <n v="-1309.70373"/>
    <n v="-4.4223257017902279E-3"/>
  </r>
  <r>
    <d v="2018-01-01T00:00:00"/>
    <s v="EQUATORIAL"/>
    <s v="EQUATORIAL ALAGOAS"/>
    <s v="COMPANHIA ENERGÉTICA DE ALAGOAS"/>
    <s v="12.272.084/0001-00"/>
    <s v="Programa Luz para Todos"/>
    <d v="2018-01-01T00:00:00"/>
    <n v="9991647.4800000004"/>
    <n v="9991647.4800000004"/>
    <n v="9991.6474799999996"/>
    <s v="Sistema Antigo"/>
    <s v="Pago"/>
    <s v="ECOT 005/2017"/>
    <s v="9ª Tranche"/>
    <s v="3ª "/>
    <s v="AL"/>
    <s v="Liberações"/>
    <n v="65667670"/>
    <n v="65667.67"/>
    <n v="54077330"/>
    <n v="54077.33"/>
    <n v="0.82350005718186747"/>
    <s v="LPT"/>
    <n v="-21229886.329999998"/>
    <n v="-21229.886329999998"/>
    <n v="-0.39258384853690076"/>
  </r>
  <r>
    <d v="2018-02-01T00:00:00"/>
    <s v="EQUATORIAL"/>
    <s v="EQUATORIAL ALAGOAS"/>
    <s v="COMPANHIA ENERGÉTICA DE ALAGOAS"/>
    <s v="12.272.084/0001-00"/>
    <s v="Programa Luz para Todos"/>
    <d v="2018-01-01T00:00:00"/>
    <n v="556153.52190000005"/>
    <n v="556153.52190000005"/>
    <n v="556.1535219000001"/>
    <s v="Sistema Antigo"/>
    <s v="Pago"/>
    <s v="ECOT 005/2017"/>
    <s v="9ª Tranche"/>
    <s v="3ª "/>
    <s v="AL"/>
    <s v="Liberações"/>
    <n v="0"/>
    <n v="0"/>
    <n v="0"/>
    <n v="0"/>
    <n v="0"/>
    <s v="LPT"/>
    <n v="0"/>
    <n v="0"/>
    <n v="0"/>
  </r>
  <r>
    <d v="2018-02-01T00:00:00"/>
    <s v="EQUATORIAL"/>
    <s v="EQUATORIAL ALAGOAS"/>
    <s v="COMPANHIA ENERGÉTICA DE ALAGOAS"/>
    <s v="12.272.084/0001-00"/>
    <s v="Programa Luz para Todos"/>
    <d v="2018-02-01T00:00:00"/>
    <n v="10815466"/>
    <n v="10815466"/>
    <n v="10815.466"/>
    <s v="Sistema Antigo"/>
    <s v="Pago"/>
    <s v="ECOT 005/2017"/>
    <s v="9ª Tranche"/>
    <s v="4ª"/>
    <s v="AL"/>
    <s v="Liberações"/>
    <n v="0"/>
    <n v="0"/>
    <n v="0"/>
    <n v="0"/>
    <n v="0"/>
    <s v="LPT"/>
    <n v="0"/>
    <n v="0"/>
    <n v="0"/>
  </r>
  <r>
    <d v="2014-10-02T00:00:00"/>
    <s v="EQUATORIAL"/>
    <s v="EQUATORIAL ALAGOAS"/>
    <s v="EQUATORIAL ALAGOAS DISTRIBUIDORA DE ENERGIA S.A."/>
    <s v="12.272.084/0001-00"/>
    <s v="Programa Luz para Todos"/>
    <d v="2014-10-02T00:00:00"/>
    <n v="48669597"/>
    <n v="48669597"/>
    <n v="48669.597000000002"/>
    <d v="2014-10-02T00:00:00"/>
    <s v="Pago"/>
    <s v="ECOT 005/2017"/>
    <s v="9ª Tranche"/>
    <n v="0"/>
    <s v="AL"/>
    <s v="Liberações"/>
    <n v="0"/>
    <n v="0"/>
    <n v="0"/>
    <n v="0"/>
    <n v="0"/>
    <s v="LPT"/>
    <n v="0"/>
    <n v="0"/>
    <n v="0"/>
  </r>
  <r>
    <d v="2018-10-01T00:00:00"/>
    <s v="ENERGISA"/>
    <s v="ENERGISA RO"/>
    <s v="ENERGISA RONDONIA - DISTRIBUIDORA DE ENERGIA S.A"/>
    <s v="05.914.650/0001-66"/>
    <s v="Programa Luz para Todos"/>
    <d v="2017-10-01T00:00:00"/>
    <n v="11852604"/>
    <n v="11852604"/>
    <n v="11852.603999999999"/>
    <s v="Sistema Antigo"/>
    <s v="Pago"/>
    <s v="ECOT 006/2017"/>
    <s v="5ª Tranche"/>
    <s v="3ª"/>
    <s v="RO"/>
    <s v="Liberações"/>
    <n v="71118460"/>
    <n v="71118.460000000006"/>
    <n v="59263020"/>
    <n v="59263.02"/>
    <n v="0.83330010239254337"/>
    <s v="LPT"/>
    <n v="-6440352.4100000001"/>
    <n v="-6440.3524100000004"/>
    <n v="-0.10867405019183971"/>
  </r>
  <r>
    <d v="2018-11-01T00:00:00"/>
    <s v="ENERGISA"/>
    <s v="ENERGISA RO"/>
    <s v="ENERGISA RONDONIA - DISTRIBUIDORA DE ENERGIA S.A"/>
    <s v="05.914.650/0001-66"/>
    <s v="Programa Luz para Todos"/>
    <d v="2017-11-01T00:00:00"/>
    <n v="11852604"/>
    <n v="11852604"/>
    <n v="11852.603999999999"/>
    <s v="Sistema Antigo"/>
    <s v="Pago"/>
    <s v="ECOT 006/2017"/>
    <s v="5ª Tranche"/>
    <s v="4ª"/>
    <s v="RO"/>
    <s v="Liberações"/>
    <n v="0"/>
    <n v="0"/>
    <n v="0"/>
    <n v="0"/>
    <n v="0"/>
    <s v="LPT"/>
    <n v="0"/>
    <n v="0"/>
    <n v="0"/>
  </r>
  <r>
    <d v="2019-01-01T00:00:00"/>
    <s v="EQUATORIAL"/>
    <s v="EQUATORIAL GOIÁS"/>
    <s v="EQUATORIAL GOIAS DISTRIBUIDORA DE ENERGIA S/A"/>
    <s v="01.543.032/0001-04"/>
    <s v="Programa Luz para Todos"/>
    <d v="2019-01-01T00:00:00"/>
    <n v="15686775"/>
    <n v="15686775"/>
    <n v="15686.775"/>
    <s v="Sistema Antigo"/>
    <s v="Pago"/>
    <s v="ECOT 007/2017"/>
    <s v="4ª Tranche"/>
    <s v="2ª"/>
    <s v="GO"/>
    <s v="Liberações"/>
    <n v="27960190"/>
    <n v="27960.19"/>
    <n v="16776120"/>
    <n v="16776.12"/>
    <n v="0.60000021459081643"/>
    <s v="LPT"/>
    <n v="-1240746.0900000001"/>
    <n v="-1240.7460900000001"/>
    <n v="-7.3959061451634833E-2"/>
  </r>
  <r>
    <d v="2018-01-01T00:00:00"/>
    <s v="EQUATORIAL"/>
    <s v="EQUATORIAL MARANHÃO"/>
    <s v="EQUATORIAL MARANHAO DISTRIBUIDORA DE ENERGIA S.A"/>
    <s v="06.272.793/0001-84"/>
    <s v="Programa Luz para Todos"/>
    <d v="2017-12-01T00:00:00"/>
    <n v="5301994.9177999999"/>
    <n v="5301994.9177999999"/>
    <n v="5301.9949177999997"/>
    <s v="Sistema Antigo"/>
    <s v="Pago"/>
    <s v="ECOT 008/2017"/>
    <s v="8ª Tranche"/>
    <s v="3ª"/>
    <s v="MA"/>
    <s v="Liberações"/>
    <n v="140423750"/>
    <n v="140423.75"/>
    <n v="105317810"/>
    <n v="105317.81"/>
    <n v="0.7499999821967438"/>
    <s v="LPT"/>
    <n v="-4329452.28"/>
    <n v="-4329.4522800000004"/>
    <n v="-4.1108453356559542E-2"/>
  </r>
  <r>
    <d v="2018-01-01T00:00:00"/>
    <s v="EQUATORIAL"/>
    <s v="EQUATORIAL MARANHÃO"/>
    <s v="EQUATORIAL MARANHAO DISTRIBUIDORA DE ENERGIA S.A"/>
    <s v="06.272.793/0001-84"/>
    <s v="Programa Luz para Todos"/>
    <d v="2017-12-01T00:00:00"/>
    <n v="5301994.9177999999"/>
    <n v="5301994.9177999999"/>
    <n v="5301.9949177999997"/>
    <s v="Sistema Antigo"/>
    <s v="Pago"/>
    <s v="ECOT 008/2017"/>
    <s v="8ª Tranche"/>
    <s v="4ª"/>
    <s v="MA"/>
    <s v="Liberações"/>
    <n v="0"/>
    <n v="0"/>
    <n v="0"/>
    <n v="0"/>
    <n v="0"/>
    <s v="LPT"/>
    <n v="0"/>
    <n v="0"/>
    <n v="0"/>
  </r>
  <r>
    <d v="2018-02-01T00:00:00"/>
    <s v="EQUATORIAL"/>
    <s v="EQUATORIAL PARÁ"/>
    <s v="EQUATORIAL PARA DISTRIBUIDORA DE ENERGIA S.A."/>
    <s v="04.895.728/0001-80"/>
    <s v="Programa Luz para Todos"/>
    <d v="2018-02-01T00:00:00"/>
    <n v="24375528"/>
    <n v="24375528"/>
    <n v="24375.527999999998"/>
    <s v="Sistema Antigo"/>
    <s v="Pago"/>
    <s v="ECOT 009/2017"/>
    <s v="2ª Tranche"/>
    <s v="4ª"/>
    <s v="PA"/>
    <s v="Liberações"/>
    <n v="161208160"/>
    <n v="161208.16"/>
    <n v="120906120"/>
    <n v="120906.12"/>
    <n v="0.75"/>
    <s v="LPT"/>
    <n v="-4376351.22"/>
    <n v="-4376.3512199999996"/>
    <n v="-3.6196275424271326E-2"/>
  </r>
  <r>
    <d v="2018-11-01T00:00:00"/>
    <s v="EQUATORIAL"/>
    <s v="EQUATORIAL PARÁ"/>
    <s v="EQUATORIAL PARA DISTRIBUIDORA DE ENERGIA S.A."/>
    <s v="04.895.728/0001-80"/>
    <s v="Programa Luz para Todos"/>
    <d v="2017-11-01T00:00:00"/>
    <n v="24375528"/>
    <n v="24375528"/>
    <n v="24375.527999999998"/>
    <s v="Sistema Antigo"/>
    <s v="Pago"/>
    <s v="ECOT 009/2017"/>
    <s v="2ª Tranche"/>
    <s v="2ª"/>
    <s v="PA"/>
    <s v="Liberações"/>
    <n v="0"/>
    <n v="0"/>
    <n v="0"/>
    <n v="0"/>
    <n v="0"/>
    <s v="LPT"/>
    <n v="0"/>
    <n v="0"/>
    <n v="0"/>
  </r>
  <r>
    <d v="2018-11-01T00:00:00"/>
    <s v="EQUATORIAL"/>
    <s v="EQUATORIAL PARÁ"/>
    <s v="EQUATORIAL PARA DISTRIBUIDORA DE ENERGIA S.A."/>
    <s v="04.895.728/0001-80"/>
    <s v="Programa Luz para Todos"/>
    <d v="2017-11-01T00:00:00"/>
    <n v="24375528"/>
    <n v="24375528"/>
    <n v="24375.527999999998"/>
    <s v="Sistema Antigo"/>
    <s v="Pago"/>
    <s v="ECOT 009/2017"/>
    <s v="2ª Tranche"/>
    <s v="3ª"/>
    <s v="PA"/>
    <s v="Liberações"/>
    <n v="0"/>
    <n v="0"/>
    <n v="0"/>
    <n v="0"/>
    <n v="0"/>
    <s v="LPT"/>
    <n v="0"/>
    <n v="0"/>
    <n v="0"/>
  </r>
  <r>
    <d v="2020-03-01T00:00:00"/>
    <s v="ENERGISA"/>
    <s v="ENERGISA MT"/>
    <s v="ENERGISA MATO GROSSO - DISTRIBUIDORA DE ENERGIA S.A."/>
    <s v="03.467.321/0001-99"/>
    <s v="Programa Luz para Todos"/>
    <d v="2020-03-01T00:00:00"/>
    <n v="12267570.73"/>
    <n v="12267570.73"/>
    <n v="12267.570730000001"/>
    <s v="Sistema Antigo"/>
    <s v="Pago"/>
    <s v="ECOT 010/2017"/>
    <s v="6ª Tranche"/>
    <s v="parcela final"/>
    <s v="MT"/>
    <s v="Liberações"/>
    <n v="161208160"/>
    <n v="161208.16"/>
    <n v="120906120"/>
    <n v="120906.12"/>
    <n v="0.75"/>
    <s v="LPT"/>
    <n v="0"/>
    <n v="0"/>
    <n v="0"/>
  </r>
  <r>
    <d v="2018-03-01T00:00:00"/>
    <s v="ENERGISA"/>
    <s v="ENERGISA AC"/>
    <s v="CENTRAIS ELETRICAS BRASILEIRAS SA ELETROBRAS"/>
    <s v="00.001.180/0002-07"/>
    <s v="Programa Luz para Todos"/>
    <d v="2018-03-01T00:00:00"/>
    <n v="71928.820000000007"/>
    <n v="71928.820000000007"/>
    <n v="71.928820000000002"/>
    <s v="Sistema Antigo"/>
    <s v="Pago"/>
    <s v="ECOT 011/2017"/>
    <s v="5ª Tranche"/>
    <s v="4ª"/>
    <s v="AC"/>
    <s v="Liberações"/>
    <n v="39960460"/>
    <n v="39960.46"/>
    <n v="35964410"/>
    <n v="35964.410000000003"/>
    <n v="0.89999989990105222"/>
    <s v="LPT"/>
    <n v="-2067451.5699999998"/>
    <n v="-2067.4515699999997"/>
    <n v="-5.7486041617254388E-2"/>
  </r>
  <r>
    <d v="2018-03-01T00:00:00"/>
    <s v="ENERGISA"/>
    <s v="ENERGISA AC"/>
    <s v="ENERGISA ACRE - DISTRIBUIDORA DE ENERGIA S.A"/>
    <s v="04.065.033/0001-70"/>
    <s v="Programa Luz para Todos"/>
    <d v="2018-03-01T00:00:00"/>
    <n v="7120953.1799999997"/>
    <n v="7120953.1799999997"/>
    <n v="7120.9531799999995"/>
    <s v="Sistema Antigo"/>
    <s v="Pago"/>
    <s v="ECOT 011/2017"/>
    <s v="5ª Tranche"/>
    <s v="4ª"/>
    <s v="AC"/>
    <s v="Liberações"/>
    <n v="0"/>
    <n v="0"/>
    <n v="0"/>
    <n v="0"/>
    <n v="0"/>
    <s v="LPT"/>
    <n v="0"/>
    <n v="0"/>
    <n v="0"/>
  </r>
  <r>
    <d v="2018-09-01T00:00:00"/>
    <s v="ENERGISA"/>
    <s v="ENERGISA AC"/>
    <s v="ENERGISA ACRE - DISTRIBUIDORA DE ENERGIA S.A"/>
    <s v="04.065.033/0001-70"/>
    <s v="Programa Luz para Todos"/>
    <d v="2018-09-01T00:00:00"/>
    <n v="7194773.9999999991"/>
    <n v="7194773.9999999991"/>
    <n v="7194.7739999999994"/>
    <s v="Sistema Antigo"/>
    <s v="Pago"/>
    <s v="ECOT 012/2017"/>
    <s v="6ª Tranche"/>
    <s v="2ª"/>
    <s v="AC"/>
    <s v="Liberações"/>
    <n v="39970950"/>
    <n v="39970.949999999997"/>
    <n v="35973860"/>
    <n v="35973.86"/>
    <n v="0.90000012509084726"/>
    <s v="LPT"/>
    <n v="-3430746.6999999997"/>
    <n v="-3430.7466999999997"/>
    <n v="-9.5367767039733847E-2"/>
  </r>
  <r>
    <d v="2020-07-01T00:00:00"/>
    <s v="ENERGISA"/>
    <s v="ENERGISA AC"/>
    <s v="ENERGISA ACRE - DISTRIBUIDORA DE ENERGIA S.A"/>
    <s v="04.065.033/0001-70"/>
    <s v="Programa Luz para Todos"/>
    <d v="2020-07-01T00:00:00"/>
    <n v="7194774"/>
    <n v="7194774"/>
    <n v="7194.7740000000003"/>
    <s v="Sistema Antigo"/>
    <s v="Pago"/>
    <s v="ECOT 012/2017"/>
    <s v="6ª Tranche"/>
    <s v="3ª"/>
    <s v="AC"/>
    <s v="Liberações"/>
    <n v="0"/>
    <n v="0"/>
    <n v="0"/>
    <n v="0"/>
    <n v="0"/>
    <s v="LPT"/>
    <n v="0"/>
    <n v="0"/>
    <n v="0"/>
  </r>
  <r>
    <d v="2020-07-01T00:00:00"/>
    <s v="ENERGISA"/>
    <s v="ENERGISA AC"/>
    <s v="ENERGISA ACRE - DISTRIBUIDORA DE ENERGIA S.A"/>
    <s v="04.065.033/0001-70"/>
    <s v="Programa Luz para Todos"/>
    <d v="2020-07-01T00:00:00"/>
    <n v="7194774"/>
    <n v="7194774"/>
    <n v="7194.7740000000003"/>
    <s v="Sistema Antigo"/>
    <s v="Pago"/>
    <s v="ECOT 012/2017"/>
    <s v="6ª Tranche"/>
    <s v="4ª"/>
    <s v="AC"/>
    <s v="Liberações"/>
    <n v="0"/>
    <n v="0"/>
    <n v="0"/>
    <n v="0"/>
    <n v="0"/>
    <s v="LPT"/>
    <n v="0"/>
    <n v="0"/>
    <n v="0"/>
  </r>
  <r>
    <d v="2020-05-01T00:00:00"/>
    <s v="NEOENERGIA "/>
    <s v="COELBA"/>
    <s v="COMPANHIA DE ELETRICIDADE DO ESTADO DA BAHIA COELBA"/>
    <s v="15.139.629/0001-94"/>
    <s v="Programa Luz para Todos"/>
    <d v="2020-05-01T00:00:00"/>
    <n v="10876567.68"/>
    <n v="10876567.68"/>
    <n v="10876.56768"/>
    <s v="Sistema Antigo"/>
    <s v="Pago"/>
    <s v="ECOT 013/2017"/>
    <s v="8ª Tranche"/>
    <s v="parcela final"/>
    <s v="BA"/>
    <s v="Liberações"/>
    <n v="685321240"/>
    <n v="685321.24"/>
    <n v="513990930"/>
    <n v="513990.93"/>
    <n v="0.75"/>
    <s v="LPT"/>
    <n v="0"/>
    <n v="0"/>
    <n v="0"/>
  </r>
  <r>
    <d v="2017-09-01T00:00:00"/>
    <s v="AMAZONAS ENERGIA"/>
    <s v="AMAZONAS ENERGIA"/>
    <s v="CENTRAIS ELETRICAS BRASILEIRAS SA ELETROBRAS"/>
    <s v="00.001.180/0002-07"/>
    <s v="Programa Luz para Todos"/>
    <d v="2017-09-01T00:00:00"/>
    <n v="2032964.3"/>
    <n v="2032964.3"/>
    <n v="2032.9643000000001"/>
    <s v="Sistema Antigo"/>
    <s v="Pago"/>
    <s v="ECOT 014/2017"/>
    <s v="8ª Tranche"/>
    <s v="1ª"/>
    <s v="AM"/>
    <s v="Liberações"/>
    <n v="203296380"/>
    <n v="203296.38"/>
    <n v="182966740"/>
    <n v="182966.74"/>
    <n v="0.89999999016214649"/>
    <s v="LPT"/>
    <n v="0"/>
    <n v="0"/>
    <n v="0"/>
  </r>
  <r>
    <d v="2017-09-01T00:00:00"/>
    <s v="AMAZONAS ENERGIA"/>
    <s v="AMAZONAS ENERGIA"/>
    <s v="AMAZONAS ENERGIA S.A"/>
    <s v="02.341.467/0001-20"/>
    <s v="Programa Luz para Todos"/>
    <d v="2017-09-01T00:00:00"/>
    <n v="52857072.700000003"/>
    <n v="52857072.700000003"/>
    <n v="52857.072700000004"/>
    <s v="Sistema Antigo"/>
    <s v="Pago"/>
    <s v="ECOT 014/2017"/>
    <s v="8ª Tranche"/>
    <s v="1ª"/>
    <s v="AM"/>
    <s v="Liberações"/>
    <n v="0"/>
    <n v="0"/>
    <n v="0"/>
    <n v="0"/>
    <n v="0"/>
    <s v="LPT"/>
    <n v="0"/>
    <n v="0"/>
    <n v="0"/>
  </r>
  <r>
    <d v="2018-01-01T00:00:00"/>
    <s v="AMAZONAS ENERGIA"/>
    <s v="AMAZONAS ENERGIA"/>
    <s v="AMAZONAS ENERGIA S.A"/>
    <s v="02.341.467/0001-20"/>
    <s v="Programa Luz para Todos"/>
    <d v="2018-01-01T00:00:00"/>
    <n v="34663901.340000004"/>
    <n v="34663901.340000004"/>
    <n v="34663.901340000004"/>
    <s v="Sistema Antigo"/>
    <s v="Pago"/>
    <s v="ECOT 014/2017"/>
    <s v="8ª Tranche"/>
    <s v="2ª"/>
    <s v="AM"/>
    <s v="Liberações"/>
    <n v="0"/>
    <n v="0"/>
    <n v="0"/>
    <n v="0"/>
    <n v="0"/>
    <s v="LPT"/>
    <n v="0"/>
    <n v="0"/>
    <n v="0"/>
  </r>
  <r>
    <d v="2018-02-01T00:00:00"/>
    <s v="AMAZONAS ENERGIA"/>
    <s v="AMAZONAS ENERGIA"/>
    <s v="AMAZONAS ENERGIA S.A"/>
    <s v="02.341.467/0001-20"/>
    <s v="Programa Luz para Todos"/>
    <d v="2018-01-01T00:00:00"/>
    <n v="1929456.6640000001"/>
    <n v="1929456.6640000001"/>
    <n v="1929.456664"/>
    <s v="Sistema Antigo"/>
    <s v="Pago"/>
    <s v="ECOT 014/2017"/>
    <s v="8ª Tranche"/>
    <s v="2ª"/>
    <s v="AM"/>
    <s v="Liberações"/>
    <n v="0"/>
    <n v="0"/>
    <n v="0"/>
    <n v="0"/>
    <n v="0"/>
    <s v="LPT"/>
    <n v="0"/>
    <n v="0"/>
    <n v="0"/>
  </r>
  <r>
    <d v="2018-04-01T00:00:00"/>
    <s v="AMAZONAS ENERGIA"/>
    <s v="AMAZONAS ENERGIA"/>
    <s v="AMAZONAS ENERGIA S.A"/>
    <s v="02.341.467/0001-20"/>
    <s v="Programa Luz para Todos"/>
    <d v="2018-04-01T00:00:00"/>
    <n v="36593358"/>
    <n v="36593358"/>
    <n v="36593.358"/>
    <s v="Sistema Antigo"/>
    <s v="Pago"/>
    <s v="ECOT 014/2017"/>
    <s v="8ª Tranche"/>
    <s v="3ª "/>
    <s v="AM"/>
    <s v="Liberações"/>
    <n v="0"/>
    <n v="0"/>
    <n v="0"/>
    <n v="0"/>
    <n v="0"/>
    <s v="LPT"/>
    <n v="0"/>
    <n v="0"/>
    <n v="0"/>
  </r>
  <r>
    <d v="2018-05-01T00:00:00"/>
    <s v="AMAZONAS ENERGIA"/>
    <s v="AMAZONAS ENERGIA"/>
    <s v="AMAZONAS ENERGIA S.A"/>
    <s v="02.341.467/0001-20"/>
    <s v="Programa Luz para Todos"/>
    <d v="2018-05-01T00:00:00"/>
    <n v="36593358"/>
    <n v="36593358"/>
    <n v="36593.358"/>
    <s v="Sistema Antigo"/>
    <s v="Pago"/>
    <s v="ECOT 014/2017"/>
    <s v="8ª Tranche"/>
    <s v="4ª"/>
    <s v="AM"/>
    <s v="Liberações"/>
    <n v="0"/>
    <n v="0"/>
    <n v="0"/>
    <n v="0"/>
    <n v="0"/>
    <s v="LPT"/>
    <n v="0"/>
    <n v="0"/>
    <n v="0"/>
  </r>
  <r>
    <d v="2023-10-01T00:00:00"/>
    <s v="AMAZONAS ENERGIA"/>
    <s v="AMAZONAS ENERGIA"/>
    <s v="AMAZONAS ENERGIA S.A"/>
    <s v="02.341.467/0001-20"/>
    <s v="Programa Luz para Todos"/>
    <d v="2023-10-02T00:00:00"/>
    <n v="13529704.880000001"/>
    <n v="13529704.880000001"/>
    <n v="13529.704880000001"/>
    <d v="2023-10-11T00:00:00"/>
    <s v="Pago"/>
    <s v="ECOT 014/2017"/>
    <s v="8ª Tranche"/>
    <s v="parcela final"/>
    <s v="AM"/>
    <s v="Liberações"/>
    <n v="0"/>
    <n v="0"/>
    <n v="0"/>
    <n v="0"/>
    <n v="0"/>
    <s v="LPT"/>
    <n v="0"/>
    <n v="0"/>
    <n v="0"/>
  </r>
  <r>
    <d v="2018-02-01T00:00:00"/>
    <s v="EQUATORIAL"/>
    <s v="EQUATORIAL PARÁ"/>
    <s v="EQUATORIAL PARA DISTRIBUIDORA DE ENERGIA S.A."/>
    <s v="04.895.728/0001-80"/>
    <s v="Programa Luz para Todos"/>
    <d v="2018-02-01T00:00:00"/>
    <n v="11185618"/>
    <n v="11185618"/>
    <n v="11185.618"/>
    <s v="Sistema Antigo"/>
    <s v="Pago"/>
    <s v="ECOT 015/2017"/>
    <s v="1ª Tranche"/>
    <s v="2ª"/>
    <s v="PA"/>
    <s v="Liberações"/>
    <n v="62141700"/>
    <n v="62141.7"/>
    <n v="55928090"/>
    <n v="55928.09"/>
    <n v="0.90000901166205627"/>
    <s v="LPT"/>
    <n v="0"/>
    <n v="0"/>
    <n v="0"/>
  </r>
  <r>
    <d v="2018-02-01T00:00:00"/>
    <s v="EQUATORIAL"/>
    <s v="EQUATORIAL PARÁ"/>
    <s v="EQUATORIAL PARA DISTRIBUIDORA DE ENERGIA S.A."/>
    <s v="04.895.728/0001-80"/>
    <s v="Programa Luz para Todos"/>
    <d v="2018-02-01T00:00:00"/>
    <n v="11185618"/>
    <n v="11185618"/>
    <n v="11185.618"/>
    <s v="Sistema Antigo"/>
    <s v="Pago"/>
    <s v="ECOT 015/2017"/>
    <s v="1ª Tranche"/>
    <s v="3ª "/>
    <s v="PA"/>
    <s v="Liberações"/>
    <n v="0"/>
    <n v="0"/>
    <n v="0"/>
    <n v="0"/>
    <n v="0"/>
    <s v="LPT"/>
    <n v="0"/>
    <n v="0"/>
    <n v="0"/>
  </r>
  <r>
    <d v="2020-06-01T00:00:00"/>
    <s v="EQUATORIAL"/>
    <s v="EQUATORIAL GOIÁS"/>
    <s v="CENTRAIS ELETRICAS BRASILEIRAS SA ELETROBRAS"/>
    <s v="00.001.180/0002-07"/>
    <s v="Programa Luz para Todos"/>
    <d v="2020-06-01T00:00:00"/>
    <n v="27196.15"/>
    <n v="27196.15"/>
    <n v="27.196150000000003"/>
    <s v="Sistema Antigo"/>
    <s v="Pago"/>
    <s v="ECOT 016/2017"/>
    <s v="3ª Tranche"/>
    <s v="parcela final"/>
    <s v="GO"/>
    <s v="Liberações"/>
    <n v="144451950"/>
    <n v="144451.95000000001"/>
    <n v="108616760"/>
    <n v="108616.76"/>
    <n v="0.75192311353360064"/>
    <s v="LPT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8">
  <r>
    <d v="2020-07-01T00:00:00"/>
    <s v="CPFL"/>
    <s v="CPFL"/>
    <s v="COMPANHIA JAGUARI DE ENERGIA"/>
    <s v="53.859.112/0001-69"/>
    <s v="Programa Luz para Todos"/>
    <d v="2020-07-01T00:00:00"/>
    <n v="1398961.8399999999"/>
    <n v="1398961.8399999999"/>
    <n v="1398.9618399999999"/>
    <s v="Sistema Antigo"/>
    <s v="Pago"/>
    <x v="0"/>
    <s v="2ª Tranche"/>
    <s v="parcela final"/>
    <s v="SP"/>
    <s v="Liberações"/>
    <n v="2143980"/>
    <n v="2143.98"/>
    <n v="1715180"/>
    <n v="1715.18"/>
    <n v="0.79999813431095435"/>
    <s v="LPT"/>
    <n v="0"/>
    <n v="0"/>
    <n v="0"/>
    <s v="Encerrado"/>
    <s v="02ª"/>
    <s v="OUTROS"/>
    <s v="Eletrobras"/>
    <n v="0"/>
    <n v="0"/>
    <n v="0"/>
    <n v="0"/>
    <n v="0"/>
    <n v="0"/>
    <n v="0"/>
    <n v="0"/>
    <n v="0"/>
    <n v="0"/>
    <n v="0"/>
    <s v="-"/>
    <n v="0"/>
  </r>
  <r>
    <d v="2020-07-01T00:00:00"/>
    <s v="CPFL"/>
    <s v="CPFL Jaguari"/>
    <s v="COMPANHIA JAGUARI DE ENERGIA"/>
    <s v="00.001.180/0002-07"/>
    <s v="Programa Luz para Todos"/>
    <d v="2020-07-01T00:00:00"/>
    <n v="3199935.75"/>
    <n v="3199935.75"/>
    <n v="3199.9357500000001"/>
    <s v="Sistema Antigo"/>
    <s v="Pago"/>
    <x v="1"/>
    <s v="2ª Tranche"/>
    <s v="parcela final"/>
    <s v="SP"/>
    <s v="Liberações"/>
    <n v="4658080"/>
    <n v="4658.08"/>
    <n v="3959370"/>
    <n v="3959.37"/>
    <n v="0.85000042936145359"/>
    <s v="LPT"/>
    <n v="0"/>
    <n v="0"/>
    <n v="0"/>
    <s v="Encerrado"/>
    <s v="02ª"/>
    <s v="OUTROS"/>
    <s v="Eletrobras"/>
    <n v="0"/>
    <n v="0"/>
    <n v="0"/>
    <n v="0"/>
    <n v="0"/>
    <n v="0"/>
    <n v="0"/>
    <n v="0"/>
    <n v="0"/>
    <n v="0"/>
    <n v="0"/>
    <s v="-"/>
    <n v="0"/>
  </r>
  <r>
    <d v="2006-02-03T00:00:00"/>
    <s v="EQUATORIAL"/>
    <s v="EQUATORIAL AMAPÁ"/>
    <s v="CENTRAIS ELÉTRICAS DO NORTE DO BRASIL S.A."/>
    <s v="00.357.038/0001-16"/>
    <s v="Programa Luz para Todos"/>
    <d v="2006-02-03T00:00:00"/>
    <n v="10003157"/>
    <n v="10003157"/>
    <n v="10003.156999999999"/>
    <s v="Sistema Antigo"/>
    <s v="Pago"/>
    <x v="2"/>
    <s v="1ª Tranche"/>
    <n v="0"/>
    <s v="AP"/>
    <s v="Liberações"/>
    <n v="13076020"/>
    <n v="13076.02"/>
    <n v="11768420"/>
    <n v="11768.42"/>
    <n v="0.90000015295173919"/>
    <s v="LPT"/>
    <n v="-234668.35"/>
    <n v="-234.66835"/>
    <n v="-1.9940514529563018E-2"/>
    <s v="Encerrado"/>
    <s v="01ª"/>
    <s v="EQUATORIAL"/>
    <s v="Eletrobras"/>
    <n v="-1.9940514529563018E-2"/>
    <n v="-234668.35"/>
    <n v="-234.66835"/>
    <n v="0"/>
    <n v="0"/>
    <n v="0"/>
    <n v="0"/>
    <n v="0"/>
    <n v="0"/>
    <n v="0"/>
    <n v="0"/>
    <s v="-"/>
    <n v="0"/>
  </r>
  <r>
    <d v="2006-02-14T00:00:00"/>
    <s v="EQUATORIAL"/>
    <s v="EQUATORIAL RIO GRANDE DO SUL "/>
    <s v="CENTRAIS ELÉTRICAS BRASILEIRAS"/>
    <s v="00.001.180/0002-07"/>
    <s v="Programa Luz para Todos"/>
    <d v="2006-02-01T00:00:00"/>
    <n v="315238"/>
    <n v="315238"/>
    <n v="315.238"/>
    <s v="Sistema Antigo"/>
    <s v="Pago"/>
    <x v="3"/>
    <s v="1ª Tranche"/>
    <s v="Acordo ELTB"/>
    <s v="RS"/>
    <s v="Liberações"/>
    <n v="3708680"/>
    <n v="3708.68"/>
    <n v="3152380"/>
    <n v="3152.38"/>
    <n v="0.85000053927542951"/>
    <s v="LPT"/>
    <n v="-1222411.9300000002"/>
    <n v="-1222.4119300000002"/>
    <n v="-0.38777429434268718"/>
    <s v="Encerrado"/>
    <s v="01ª"/>
    <s v="EQUATORIAL"/>
    <s v="Eletrobras"/>
    <n v="-0.38777429434268718"/>
    <n v="-1222411.9300000002"/>
    <n v="-1222.4119300000002"/>
    <n v="0"/>
    <n v="0"/>
    <n v="0"/>
    <n v="0"/>
    <n v="0"/>
    <n v="0"/>
    <n v="0"/>
    <n v="0"/>
    <s v="-"/>
    <n v="0"/>
  </r>
  <r>
    <d v="2019-09-01T00:00:00"/>
    <s v="ENERGISA"/>
    <s v="ENERGISA AC"/>
    <s v="ENERGISA ACRE - DISTRIBUIDORA DE ENERGIA S.A"/>
    <s v="04.065.033/0001-70"/>
    <s v="Programa Luz para Todos"/>
    <d v="2019-09-01T00:00:00"/>
    <n v="81461757.969999999"/>
    <n v="81461757.969999999"/>
    <n v="81461.757970000006"/>
    <s v="Sistema Antigo"/>
    <s v="Pago"/>
    <x v="4"/>
    <s v="3ª Tranche"/>
    <s v="parcela final"/>
    <s v="AC"/>
    <s v="Liberações"/>
    <n v="98298280"/>
    <n v="98298.28"/>
    <n v="88468460"/>
    <n v="88468.46"/>
    <n v="0.90000008138494392"/>
    <s v="LPT"/>
    <n v="0"/>
    <n v="0"/>
    <n v="0"/>
    <s v="Encerrado"/>
    <s v="03ª"/>
    <s v="ENERGISA"/>
    <s v="Eletrobras"/>
    <n v="0"/>
    <n v="0"/>
    <n v="0"/>
    <n v="0"/>
    <n v="0"/>
    <n v="0"/>
    <n v="0"/>
    <n v="0"/>
    <n v="0"/>
    <n v="0"/>
    <n v="0"/>
    <s v="-"/>
    <n v="0"/>
  </r>
  <r>
    <d v="2009-08-25T00:00:00"/>
    <s v="EQUATORIAL"/>
    <s v="EQUATORIAL AMAPÁ"/>
    <s v="CENTRAIS ELÉTRICAS DO NORTE DO BRASIL S.A."/>
    <s v="00.357.038/0001-16"/>
    <s v="Programa Luz para Todos"/>
    <d v="2009-08-25T00:00:00"/>
    <n v="66043550"/>
    <n v="66043550"/>
    <n v="66043.55"/>
    <d v="2009-08-25T00:00:00"/>
    <s v="Pago"/>
    <x v="5"/>
    <s v="2ª Tranche"/>
    <n v="0"/>
    <s v="AP"/>
    <s v="Liberações"/>
    <n v="146763050"/>
    <n v="146763.04999999999"/>
    <n v="132086740"/>
    <n v="132086.74"/>
    <n v="0.89999996593147935"/>
    <s v="LPT"/>
    <n v="-39420193"/>
    <n v="-39420.192999999999"/>
    <n v="-0.29844171337713382"/>
    <s v="Encerrado"/>
    <s v="02ª"/>
    <s v="EQUATORIAL"/>
    <s v="Eletrobras"/>
    <n v="-0.29844171337713382"/>
    <n v="-39420193"/>
    <n v="-39420.192999999999"/>
    <n v="0"/>
    <n v="0"/>
    <n v="0"/>
    <n v="0"/>
    <n v="0"/>
    <n v="0"/>
    <n v="0"/>
    <n v="0"/>
    <s v="-"/>
    <n v="0"/>
  </r>
  <r>
    <d v="2010-01-08T00:00:00"/>
    <s v="ENERGISA"/>
    <s v="ENERGISA RO"/>
    <s v="ENERGISA RONDONIA - DISTRIBUIDORA DE ENERGIA S.A"/>
    <s v="05.914.650/0001-66"/>
    <s v="Programa Luz para Todos"/>
    <d v="2010-01-08T00:00:00"/>
    <n v="92815668"/>
    <n v="92815668"/>
    <n v="92815.668000000005"/>
    <d v="2010-01-08T00:00:00"/>
    <s v="Pago"/>
    <x v="6"/>
    <s v="4ª Tranche"/>
    <n v="0"/>
    <s v="RO"/>
    <s v="Liberações"/>
    <n v="121327570"/>
    <n v="121327.57"/>
    <n v="103128440"/>
    <n v="103128.44"/>
    <n v="0.85000004533182361"/>
    <s v="LPT"/>
    <n v="-4355398.1900000004"/>
    <n v="-4355.3981900000008"/>
    <n v="-4.2232755484326152E-2"/>
    <s v="Encerrado"/>
    <s v="04ª"/>
    <s v="ENERGISA"/>
    <s v="Eletrobras"/>
    <n v="-4.2232755484326152E-2"/>
    <n v="-4355398.1900000004"/>
    <n v="-4355.3981900000008"/>
    <n v="0"/>
    <n v="0"/>
    <n v="0"/>
    <n v="0"/>
    <n v="0"/>
    <n v="0"/>
    <n v="0"/>
    <n v="0"/>
    <s v="-"/>
    <n v="0"/>
  </r>
  <r>
    <d v="2010-01-25T00:00:00"/>
    <s v="ENERGISA"/>
    <s v="ENERGISA AC"/>
    <s v="ENERGISA ACRE - DISTRIBUIDORA DE ENERGIA S.A"/>
    <s v="04.065.033/0001-70"/>
    <s v="Programa Luz para Todos"/>
    <d v="2010-01-25T00:00:00"/>
    <n v="33126822"/>
    <n v="33126822"/>
    <n v="33126.822"/>
    <s v="Sistema Antigo"/>
    <s v="Pago"/>
    <x v="7"/>
    <s v="4ª Tranche"/>
    <n v="0"/>
    <s v="AC"/>
    <s v="Liberações"/>
    <n v="40897300"/>
    <n v="40897.300000000003"/>
    <n v="36807580"/>
    <n v="36807.58"/>
    <n v="0.90000024451491911"/>
    <s v="LPT"/>
    <n v="-4999746.72"/>
    <n v="-4999.7467200000001"/>
    <n v="-0.13583470361267977"/>
    <s v="Encerrado"/>
    <s v="04ª"/>
    <s v="ENERGISA"/>
    <s v="Eletrobras"/>
    <n v="-0.13583470361267977"/>
    <n v="-4999746.72"/>
    <n v="-4999.7467200000001"/>
    <n v="0"/>
    <n v="0"/>
    <n v="0"/>
    <n v="0"/>
    <n v="0"/>
    <n v="0"/>
    <n v="0"/>
    <n v="0"/>
    <s v="-"/>
    <n v="0"/>
  </r>
  <r>
    <d v="2010-01-01T00:00:00"/>
    <s v="EQUATORIAL"/>
    <s v="EQUATORIAL PARÁ"/>
    <s v="EQUATORIAL PARA DISTRIBUIDORA DE ENERGIA S.A."/>
    <s v="04.895.728/0001-80"/>
    <s v="Programa Luz para Todos"/>
    <d v="2010-03-01T00:00:00"/>
    <n v="328448493"/>
    <n v="328448493"/>
    <n v="328448.49300000002"/>
    <d v="2010-03-09T00:00:00"/>
    <s v="Pago"/>
    <x v="8"/>
    <s v="4ª Tranche"/>
    <n v="0"/>
    <s v="PA"/>
    <s v="Liberações"/>
    <n v="429344380"/>
    <n v="429344.38"/>
    <n v="364942720"/>
    <n v="364942.72"/>
    <n v="0.8499999930126021"/>
    <s v="LPT"/>
    <n v="0"/>
    <n v="0"/>
    <n v="0"/>
    <s v="Encerrado"/>
    <s v="04ª"/>
    <s v="EQUATORIAL"/>
    <s v="Eletrobras"/>
    <n v="0"/>
    <n v="0"/>
    <n v="0"/>
    <n v="0"/>
    <n v="0"/>
    <n v="0"/>
    <n v="0"/>
    <n v="0"/>
    <n v="0"/>
    <n v="0"/>
    <n v="0"/>
    <s v="-"/>
    <n v="0"/>
  </r>
  <r>
    <d v="2019-10-01T00:00:00"/>
    <s v="ENERGISA"/>
    <s v="ENERGISA TO"/>
    <s v="ENERGISA TOCANTINS DISTRIBUIDORA DE ENERGIA S.A."/>
    <s v="00.001.180/0002-07"/>
    <s v="Programa Luz para Todos"/>
    <d v="2019-10-01T00:00:00"/>
    <n v="245899516.78999999"/>
    <n v="245899516.78999999"/>
    <n v="245899.51678999999"/>
    <s v="Sistema Antigo"/>
    <s v="Pago"/>
    <x v="9"/>
    <s v="4ª Tranche"/>
    <s v="parcela final"/>
    <s v="TO"/>
    <s v="Liberações"/>
    <n v="315625180"/>
    <n v="315625.18"/>
    <n v="268281400"/>
    <n v="268281.40000000002"/>
    <n v="0.84999999049505492"/>
    <s v="LPT"/>
    <n v="0"/>
    <n v="0"/>
    <n v="0"/>
    <s v="Encerrado"/>
    <s v="04ª"/>
    <s v="ENERGISA"/>
    <s v="Eletrobras"/>
    <n v="0"/>
    <n v="0"/>
    <n v="0"/>
    <n v="0"/>
    <n v="0"/>
    <n v="0"/>
    <n v="0"/>
    <n v="0"/>
    <n v="0"/>
    <n v="0"/>
    <n v="0"/>
    <s v="-"/>
    <n v="0"/>
  </r>
  <r>
    <d v="2018-06-01T00:00:00"/>
    <s v="EQUATORIAL"/>
    <s v="EQUATORIAL RIO GRANDE DO SUL "/>
    <s v="COMPANHIA ESTADUAL DE DISTRIBUIÇÃO DE ENERGIA ELÉTRICA"/>
    <s v="08.467.115/0001-00"/>
    <s v="Programa Luz para Todos"/>
    <d v="2018-06-01T00:00:00"/>
    <n v="8376976.2800000003"/>
    <n v="8376976.2800000003"/>
    <n v="8376.9762800000008"/>
    <s v="Sistema Antigo"/>
    <s v="Pago"/>
    <x v="10"/>
    <s v="5ª Tranche"/>
    <s v="parcela final"/>
    <s v="RS"/>
    <s v="Liberações"/>
    <n v="19624900"/>
    <n v="19624.900000000001"/>
    <n v="16681170"/>
    <n v="16681.169999999998"/>
    <n v="0.85000025477836827"/>
    <s v="LPT"/>
    <n v="0"/>
    <n v="0"/>
    <n v="0"/>
    <s v="Encerrado"/>
    <s v="05ª"/>
    <s v="EQUATORIAL"/>
    <s v="Eletrobras"/>
    <n v="0"/>
    <n v="0"/>
    <n v="0"/>
    <n v="0"/>
    <n v="0"/>
    <n v="0"/>
    <n v="0"/>
    <n v="0"/>
    <n v="0"/>
    <n v="0"/>
    <n v="0"/>
    <s v="-"/>
    <n v="0"/>
  </r>
  <r>
    <d v="2010-08-01T00:00:00"/>
    <s v="CERCI"/>
    <s v="CERCI"/>
    <s v="COOPERATIVA DE ELETRIFICAÇÃO RURAL CACHOEIRAS – ITABORAÍ LTDA"/>
    <s v="27.707.397/0001-02"/>
    <s v="Programa Luz para Todos"/>
    <d v="2010-08-01T00:00:00"/>
    <n v="823357"/>
    <n v="823357"/>
    <n v="823.35699999999997"/>
    <s v="Sistema Antigo"/>
    <s v="Pago"/>
    <x v="11"/>
    <s v="2ª Tranche"/>
    <n v="0"/>
    <s v="RJ"/>
    <s v="Liberações"/>
    <n v="1784360"/>
    <n v="1784.36"/>
    <n v="1516710"/>
    <n v="1516.71"/>
    <n v="0.85000224170010541"/>
    <s v="LPT"/>
    <n v="-79816.069999999992"/>
    <n v="-79.816069999999996"/>
    <n v="-5.2624476663304123E-2"/>
    <s v="Encerrado"/>
    <s v="02ª"/>
    <s v="OUTROS"/>
    <s v="Eletrobras"/>
    <n v="-5.2624476663304123E-2"/>
    <n v="-79816.069999999992"/>
    <n v="-79.816069999999996"/>
    <n v="0"/>
    <n v="0"/>
    <n v="0"/>
    <n v="0"/>
    <n v="0"/>
    <n v="0"/>
    <n v="0"/>
    <n v="0"/>
    <s v="-"/>
    <n v="0"/>
  </r>
  <r>
    <d v="2018-05-01T00:00:00"/>
    <s v="NEOENERGIA "/>
    <s v="NEOENERGIA"/>
    <s v="CENTRAIS ELETRICAS BRASILEIRAS SA ELETROBRAS"/>
    <s v="00.001.180/0002-07"/>
    <s v="Programa Luz para Todos"/>
    <d v="2018-05-01T00:00:00"/>
    <n v="616.46"/>
    <n v="616.46"/>
    <n v="0.61646000000000001"/>
    <s v="Sistema Antigo"/>
    <s v="Pago"/>
    <x v="12"/>
    <s v="6ª Tranche"/>
    <s v="parcela final"/>
    <s v="SP"/>
    <s v="Liberações"/>
    <n v="21392010"/>
    <n v="21392.01"/>
    <n v="18183210"/>
    <n v="18183.21"/>
    <n v="0.85000007011963807"/>
    <s v="LPT"/>
    <n v="0"/>
    <n v="0"/>
    <n v="0"/>
    <s v="Encerrado"/>
    <s v="06ª"/>
    <s v="NEOENERGIA "/>
    <s v="Eletrobras"/>
    <n v="0"/>
    <n v="0"/>
    <n v="0"/>
    <n v="0"/>
    <n v="0"/>
    <n v="0"/>
    <n v="0"/>
    <n v="0"/>
    <n v="0"/>
    <n v="0"/>
    <n v="0"/>
    <s v="-"/>
    <n v="0"/>
  </r>
  <r>
    <d v="2018-05-01T00:00:00"/>
    <s v="NEOENERGIA "/>
    <s v="NEOENERGIA"/>
    <s v="ELEKTRO ELETRICIDADE E SERVIÇOS S.A."/>
    <s v="02.328.280/0001-97"/>
    <s v="Programa Luz para Todos"/>
    <d v="2018-05-01T00:00:00"/>
    <n v="61029.45"/>
    <n v="61029.45"/>
    <n v="61.029449999999997"/>
    <s v="Sistema Antigo"/>
    <s v="Pago"/>
    <x v="12"/>
    <s v="6ª Tranche"/>
    <s v="parcela final"/>
    <s v="SP"/>
    <s v="Liberações"/>
    <n v="0"/>
    <n v="0"/>
    <n v="0"/>
    <n v="0"/>
    <n v="0"/>
    <s v="LPT"/>
    <n v="0"/>
    <n v="0"/>
    <n v="0"/>
    <s v="Encerrado"/>
    <s v="06ª"/>
    <s v="NEOENERGIA "/>
    <s v="Eletrobras"/>
    <n v="0"/>
    <n v="0"/>
    <n v="0"/>
    <n v="0"/>
    <n v="0"/>
    <n v="0"/>
    <n v="0"/>
    <n v="0"/>
    <n v="0"/>
    <n v="0"/>
    <n v="0"/>
    <s v="-"/>
    <n v="0"/>
  </r>
  <r>
    <d v="2010-12-01T00:00:00"/>
    <s v="ENEL"/>
    <s v="COELCE "/>
    <s v="COMPANHIA ENERGETICA DO CEARA"/>
    <s v="07.047.251/0001-70"/>
    <s v="Programa Luz para Todos"/>
    <d v="2010-12-01T00:00:00"/>
    <n v="80819578"/>
    <n v="80819578"/>
    <n v="80819.577999999994"/>
    <d v="2010-12-12T00:00:00"/>
    <s v="Pago"/>
    <x v="13"/>
    <s v="7ª Tranche"/>
    <n v="0"/>
    <s v="CE"/>
    <s v="Liberações"/>
    <n v="134627920"/>
    <n v="134627.92000000001"/>
    <n v="114433740"/>
    <n v="114433.74"/>
    <n v="0.85000005942303791"/>
    <s v="LPT"/>
    <n v="-23451347.099999998"/>
    <n v="-23451.347099999999"/>
    <n v="-0.20493385167696168"/>
    <s v="Encerrado"/>
    <s v="07ª"/>
    <s v="OUTROS"/>
    <s v="Eletrobras"/>
    <n v="-0.20493385167696168"/>
    <n v="-23451347.099999998"/>
    <n v="-23451.347099999999"/>
    <n v="0"/>
    <n v="0"/>
    <n v="0"/>
    <n v="0"/>
    <n v="0"/>
    <n v="0"/>
    <n v="0"/>
    <n v="0"/>
    <s v="-"/>
    <n v="0"/>
  </r>
  <r>
    <d v="2012-06-04T00:00:00"/>
    <s v="EQUATORIAL"/>
    <s v="EQUATORIAL ALAGOAS"/>
    <s v="EQUATORIAL ALAGOAS DISTRIBUIDORA DE ENERGIA S.A."/>
    <s v="12.272.084/0001-00"/>
    <s v="Programa Luz para Todos"/>
    <d v="2012-06-01T00:00:00"/>
    <n v="19969578"/>
    <n v="19969578"/>
    <n v="19969.578000000001"/>
    <s v="Sistema Antigo"/>
    <s v="Pago"/>
    <x v="14"/>
    <s v="8ª Tranche"/>
    <n v="0"/>
    <s v="AL"/>
    <s v="Liberações"/>
    <n v="25719470"/>
    <n v="25719.47"/>
    <n v="21861550"/>
    <n v="21861.55"/>
    <n v="0.85000001944052506"/>
    <s v="LPT"/>
    <n v="-1941373.8399999999"/>
    <n v="-1941.3738399999997"/>
    <n v="-8.8803119632413982E-2"/>
    <s v="Encerrado"/>
    <s v="08ª"/>
    <s v="EQUATORIAL"/>
    <s v="Eletrobras"/>
    <n v="-8.8803119632413982E-2"/>
    <n v="-1941373.8399999999"/>
    <n v="-1941.3738399999997"/>
    <n v="0"/>
    <n v="0"/>
    <n v="0"/>
    <n v="0"/>
    <n v="0"/>
    <n v="0"/>
    <n v="0"/>
    <n v="0"/>
    <s v="-"/>
    <n v="0"/>
  </r>
  <r>
    <d v="2022-02-01T00:00:00"/>
    <s v="EQUATORIAL"/>
    <s v="EQUATORIAL PARÁ"/>
    <s v="EQUATORIAL PARA DISTRIBUIDORA DE ENERGIA S.A."/>
    <s v="04.895.728/0001-80"/>
    <s v="Programa Luz para Todos"/>
    <d v="2022-02-01T00:00:00"/>
    <n v="194027135.03"/>
    <n v="194027135.03"/>
    <n v="194027.13503"/>
    <d v="2022-02-21T00:00:00"/>
    <s v="Compensado"/>
    <x v="15"/>
    <s v="1ª Tranche"/>
    <s v="parcela final"/>
    <s v="PA"/>
    <s v="Liberações"/>
    <n v="268823340"/>
    <n v="268823.34000000003"/>
    <n v="201617510"/>
    <n v="201617.51"/>
    <n v="0.75000001859957544"/>
    <s v="LPT"/>
    <n v="0"/>
    <n v="0"/>
    <n v="0"/>
    <s v="Encerrado"/>
    <s v="01ª"/>
    <s v="EQUATORIAL"/>
    <s v="Eletrobras"/>
    <n v="0"/>
    <n v="0"/>
    <n v="0"/>
    <n v="0"/>
    <n v="0"/>
    <n v="0"/>
    <n v="0"/>
    <n v="0"/>
    <n v="0"/>
    <n v="0"/>
    <n v="0"/>
    <s v="-"/>
    <n v="0"/>
  </r>
  <r>
    <d v="2013-09-01T00:00:00"/>
    <s v="ENEL"/>
    <s v="AMPLA"/>
    <s v="AMPLA ENERGIA E SERVIÇOS S.A."/>
    <s v="33.050.071/0001-58"/>
    <s v="Programa Luz para Todos"/>
    <d v="2013-09-01T00:00:00"/>
    <n v="5285112"/>
    <n v="5285112"/>
    <n v="5285.1120000000001"/>
    <s v="Sistema Antigo"/>
    <s v="Pago"/>
    <x v="16"/>
    <s v="4ª Tranche"/>
    <n v="0"/>
    <s v="RJ"/>
    <s v="Liberações"/>
    <n v="25167200"/>
    <n v="25167.200000000001"/>
    <n v="7550160"/>
    <n v="7550.16"/>
    <n v="0.3"/>
    <s v="LPT"/>
    <n v="-1488962"/>
    <n v="-1488.962"/>
    <n v="-0.19720933066319124"/>
    <s v="Encerrado"/>
    <s v="04ª"/>
    <s v="OUTROS"/>
    <s v="Eletrobras"/>
    <n v="-0.19720933066319124"/>
    <n v="-1488962"/>
    <n v="-1488.962"/>
    <n v="0"/>
    <n v="0"/>
    <n v="0"/>
    <n v="0"/>
    <n v="0"/>
    <n v="0"/>
    <n v="0"/>
    <n v="0"/>
    <s v="-"/>
    <n v="0"/>
  </r>
  <r>
    <d v="2013-06-26T00:00:00"/>
    <s v="NEOENERGIA "/>
    <s v="NEOENERGIA "/>
    <s v="ELEKTRO ELETRICIDADE E SERVIÇOS S/A"/>
    <s v="02.328.280/0001-97"/>
    <s v="Programa Luz para Todos"/>
    <d v="2013-06-26T00:00:00"/>
    <n v="757099"/>
    <n v="757099"/>
    <n v="757.09900000000005"/>
    <s v="Sistema Antigo"/>
    <s v="Pago"/>
    <x v="17"/>
    <s v="5ª Tranche"/>
    <n v="0"/>
    <s v="MS"/>
    <s v="Liberações"/>
    <n v="3610060"/>
    <n v="3610.06"/>
    <n v="1081570"/>
    <n v="1081.57"/>
    <n v="0.29959889863326372"/>
    <s v="LPT"/>
    <n v="-114513.5"/>
    <n v="-114.51349999999999"/>
    <n v="-0.10587710457945394"/>
    <s v="Encerrado"/>
    <s v="05ª"/>
    <s v="NEOENERGIA "/>
    <s v="Eletrobras"/>
    <n v="-0.10587710457945394"/>
    <n v="-114513.5"/>
    <n v="-114.51349999999999"/>
    <n v="0"/>
    <n v="0"/>
    <n v="0"/>
    <n v="0"/>
    <n v="0"/>
    <n v="0"/>
    <n v="0"/>
    <n v="0"/>
    <s v="-"/>
    <n v="0"/>
  </r>
  <r>
    <d v="2013-06-26T00:00:00"/>
    <s v="NEOENERGIA "/>
    <s v="NEOENERGIA"/>
    <s v="ELEKTRO ELETRICIDADE E SERVIÇOS S/A"/>
    <s v="02.328.280/0001-97"/>
    <s v="Programa Luz para Todos"/>
    <d v="2013-06-26T00:00:00"/>
    <n v="1888635"/>
    <n v="1888635"/>
    <n v="1888.635"/>
    <s v="Sistema Antigo"/>
    <s v="Pago"/>
    <x v="18"/>
    <s v="7ª Tranche"/>
    <n v="0"/>
    <s v="SP"/>
    <s v="Liberações"/>
    <n v="21469250"/>
    <n v="21469.25"/>
    <n v="2698050"/>
    <n v="2698.05"/>
    <n v="0.12567043562304225"/>
    <s v="LPT"/>
    <n v="-1038551.24"/>
    <n v="-1038.55124"/>
    <n v="-0.38492660995904449"/>
    <s v="Encerrado"/>
    <s v="07ª"/>
    <s v="NEOENERGIA "/>
    <s v="Eletrobras"/>
    <n v="-0.38492660995904449"/>
    <n v="-1038551.24"/>
    <n v="-1038.55124"/>
    <n v="0"/>
    <n v="0"/>
    <n v="0"/>
    <n v="0"/>
    <n v="0"/>
    <n v="0"/>
    <n v="0"/>
    <n v="0"/>
    <s v="-"/>
    <n v="0"/>
  </r>
  <r>
    <d v="2013-06-27T00:00:00"/>
    <s v="AMAZONAS ENERGIA"/>
    <s v="AMAZONAS ENERGIA"/>
    <s v="AMAZONAS ENERGIA S.A"/>
    <s v="02.341.467/0001-20"/>
    <s v="Programa Luz para Todos"/>
    <d v="2013-06-27T00:00:00"/>
    <n v="144221895"/>
    <n v="144221895"/>
    <n v="144221.89499999999"/>
    <d v="2013-06-27T00:00:00"/>
    <s v="Pago"/>
    <x v="19"/>
    <s v="6ª Tranche"/>
    <n v="0"/>
    <s v="AM"/>
    <s v="Liberações"/>
    <n v="178051730"/>
    <n v="178051.73"/>
    <n v="160246550"/>
    <n v="160246.54999999999"/>
    <n v="0.89999996068558274"/>
    <s v="LPT"/>
    <n v="-12690077.57"/>
    <n v="-12690.077569999999"/>
    <n v="-7.9190956497971407E-2"/>
    <s v="Encerrado"/>
    <s v="06ª"/>
    <s v="AMAZONAS ENERGIA"/>
    <s v="Eletrobras"/>
    <n v="-7.9190956497971407E-2"/>
    <n v="-12690077.57"/>
    <n v="-12690.077569999999"/>
    <n v="0"/>
    <n v="0"/>
    <n v="0"/>
    <n v="0"/>
    <n v="0"/>
    <n v="0"/>
    <n v="0"/>
    <n v="0"/>
    <s v="-"/>
    <n v="0"/>
  </r>
  <r>
    <d v="2017-08-01T00:00:00"/>
    <s v="COPEL"/>
    <s v="COPEL-DIS"/>
    <s v="COPEL DISTRIBUIÇÃO S.A."/>
    <s v="04.368.898/0001-06"/>
    <s v="Programa Luz para Todos"/>
    <d v="2017-08-01T00:00:00"/>
    <n v="5286987.7300000004"/>
    <n v="5286987.7300000004"/>
    <n v="5286.9877300000007"/>
    <s v="Sistema Antigo"/>
    <s v="Pago"/>
    <x v="20"/>
    <s v="5ª Tranche"/>
    <s v="parcela final"/>
    <s v="PR"/>
    <s v="Liberações"/>
    <n v="28307450"/>
    <n v="28307.45"/>
    <n v="5661490"/>
    <n v="5661.49"/>
    <n v="0.2"/>
    <s v="LPT"/>
    <n v="0"/>
    <n v="0"/>
    <n v="0"/>
    <s v="Encerrado"/>
    <s v="05ª"/>
    <s v="OUTROS"/>
    <s v="Eletrobras"/>
    <n v="0"/>
    <n v="0"/>
    <n v="0"/>
    <n v="0"/>
    <n v="0"/>
    <n v="0"/>
    <n v="0"/>
    <n v="0"/>
    <n v="0"/>
    <n v="0"/>
    <n v="0"/>
    <s v="-"/>
    <n v="0"/>
  </r>
  <r>
    <d v="2017-11-01T00:00:00"/>
    <s v="CEDRI"/>
    <s v="CEDRI"/>
    <s v="Coop. Energização E Desenv. Ruraldo Vale Do Itariri Ltda"/>
    <s v="50.105.865/0001-90"/>
    <s v="Programa Luz para Todos"/>
    <d v="2017-11-01T00:00:00"/>
    <n v="1050546.92"/>
    <n v="1050546.92"/>
    <n v="1050.54692"/>
    <s v="Sistema Antigo"/>
    <s v="Pago"/>
    <x v="21"/>
    <s v="2ª Tranche"/>
    <s v="parcela final"/>
    <s v="SP"/>
    <s v="Liberações"/>
    <n v="1715720"/>
    <n v="1715.72"/>
    <n v="1201010"/>
    <n v="1201.01"/>
    <n v="0.70000349707411469"/>
    <s v="LPT"/>
    <n v="0"/>
    <n v="0"/>
    <n v="0"/>
    <s v="Encerrado"/>
    <s v="02ª"/>
    <s v="OUTROS"/>
    <s v="Eletrobras"/>
    <n v="0"/>
    <n v="0"/>
    <n v="0"/>
    <n v="0"/>
    <n v="0"/>
    <n v="0"/>
    <n v="0"/>
    <n v="0"/>
    <n v="0"/>
    <n v="0"/>
    <n v="0"/>
    <s v="-"/>
    <n v="0"/>
  </r>
  <r>
    <d v="2020-06-01T00:00:00"/>
    <s v="ENERGISA"/>
    <s v="ENERGISA MS"/>
    <s v="ENERGISA MATO GROSSO DO SUL - DISTRIBUIDORA DE ENERGIA S.A."/>
    <s v="15.413.826/0001-50"/>
    <s v="Programa Luz para Todos"/>
    <d v="2020-06-01T00:00:00"/>
    <n v="21143706.149999999"/>
    <n v="21143706.149999999"/>
    <n v="21143.706149999998"/>
    <s v="Sistema Antigo"/>
    <s v="Pago"/>
    <x v="22"/>
    <s v="5ª Tranche"/>
    <s v="parcela final"/>
    <s v="MS"/>
    <s v="Liberações"/>
    <n v="40535220"/>
    <n v="40535.22"/>
    <n v="20267610"/>
    <n v="20267.61"/>
    <n v="0.5"/>
    <s v="LPT"/>
    <n v="0"/>
    <n v="0"/>
    <n v="0"/>
    <s v="Encerrado"/>
    <s v="05ª"/>
    <s v="ENERGISA"/>
    <s v="Eletrobras"/>
    <n v="0"/>
    <n v="0"/>
    <n v="0"/>
    <n v="0"/>
    <n v="0"/>
    <n v="0"/>
    <n v="0"/>
    <n v="0"/>
    <n v="0"/>
    <n v="0"/>
    <n v="0"/>
    <s v="-"/>
    <n v="0"/>
  </r>
  <r>
    <d v="2013-10-01T00:00:00"/>
    <s v="NEOENERGIA "/>
    <s v="NEOENERGIA "/>
    <s v="CIA. ENERGÉTICA DE PERNAMBUCO S. A. "/>
    <s v="10.835.932/0001-08"/>
    <s v="Programa Luz para Todos"/>
    <d v="2013-10-01T00:00:00"/>
    <n v="21662127"/>
    <n v="21662127"/>
    <n v="21662.127"/>
    <s v="Sistema Antigo"/>
    <s v="Pago"/>
    <x v="23"/>
    <s v="5ª Tranche"/>
    <n v="0"/>
    <s v="PE"/>
    <s v="Liberações"/>
    <n v="60172580"/>
    <n v="60172.58"/>
    <n v="24069030"/>
    <n v="24069.03"/>
    <n v="0.39999996676226945"/>
    <s v="LPT"/>
    <n v="-6271648.6699999999"/>
    <n v="-6271.6486699999996"/>
    <n v="-0.26056923232884749"/>
    <s v="Encerrado"/>
    <s v="05ª"/>
    <s v="NEOENERGIA "/>
    <s v="Eletrobras"/>
    <n v="-0.26056923232884749"/>
    <n v="-6271648.6699999999"/>
    <n v="-6271.6486699999996"/>
    <n v="0"/>
    <n v="0"/>
    <n v="0"/>
    <n v="0"/>
    <n v="0"/>
    <n v="0"/>
    <n v="0"/>
    <n v="0"/>
    <s v="-"/>
    <n v="0"/>
  </r>
  <r>
    <d v="2013-10-09T00:00:00"/>
    <s v="NEOENERGIA "/>
    <s v="NEOENERGIA "/>
    <s v="COMPANHIA ENERGÉTICA DO RIO GRANDE DO NORTE"/>
    <s v="08.324.196/0001-81"/>
    <s v="Programa Luz para Todos"/>
    <d v="2013-10-09T00:00:00"/>
    <n v="12348910"/>
    <n v="12348910"/>
    <n v="12348.91"/>
    <s v="Sistema Antigo"/>
    <s v="Pago"/>
    <x v="24"/>
    <s v="6ª Tranche"/>
    <n v="0"/>
    <s v="RN"/>
    <s v="Liberações"/>
    <n v="44103260"/>
    <n v="44103.26"/>
    <n v="17641300"/>
    <n v="17641.3"/>
    <n v="0.39999990930375667"/>
    <s v="LPT"/>
    <n v="-3941429.02"/>
    <n v="-3941.42902"/>
    <n v="-0.22342055404080199"/>
    <s v="Encerrado"/>
    <s v="06ª"/>
    <s v="NEOENERGIA "/>
    <s v="Eletrobras"/>
    <n v="-0.22342055404080199"/>
    <n v="-3941429.02"/>
    <n v="-3941.42902"/>
    <n v="0"/>
    <n v="0"/>
    <n v="0"/>
    <n v="0"/>
    <n v="0"/>
    <n v="0"/>
    <n v="0"/>
    <n v="0"/>
    <s v="-"/>
    <n v="0"/>
  </r>
  <r>
    <d v="2018-02-01T00:00:00"/>
    <s v="ENERGISA"/>
    <s v="ENERGISA SE"/>
    <s v="ENERGISA SERGIPE - DISTRIBUIDORA DE ENERGIA S.A"/>
    <s v="13.017.462/0001-63"/>
    <s v="Programa Luz para Todos"/>
    <d v="2018-02-01T00:00:00"/>
    <n v="7364433.25"/>
    <n v="7364433.25"/>
    <n v="7364.43325"/>
    <s v="Sistema Antigo"/>
    <s v="Pago"/>
    <x v="25"/>
    <s v="6ª Tranche"/>
    <s v="parcela final"/>
    <s v="SE"/>
    <s v="Liberações"/>
    <n v="13028920"/>
    <n v="13028.92"/>
    <n v="9120250"/>
    <n v="9120.25"/>
    <n v="0.700000460513995"/>
    <s v="LPT"/>
    <n v="0"/>
    <n v="0"/>
    <n v="0"/>
    <s v="Encerrado"/>
    <s v="06ª"/>
    <s v="ENERGISA"/>
    <s v="Eletrobras"/>
    <n v="0"/>
    <n v="0"/>
    <n v="0"/>
    <n v="0"/>
    <n v="0"/>
    <n v="0"/>
    <n v="0"/>
    <n v="0"/>
    <n v="0"/>
    <n v="0"/>
    <n v="0"/>
    <s v="-"/>
    <n v="0"/>
  </r>
  <r>
    <d v="2020-07-01T00:00:00"/>
    <s v="ENERGISA"/>
    <s v="ENERGISA TO"/>
    <s v="ENERGISA TOCANTINS DISTRIBUIDORA DE ENERGIA S.A."/>
    <s v="25.086.034/0001-71"/>
    <s v="Programa Luz para Todos"/>
    <d v="2020-07-01T00:00:00"/>
    <n v="12604397.560000001"/>
    <n v="12604397.560000001"/>
    <n v="12604.397560000001"/>
    <s v="Sistema Antigo"/>
    <s v="Pago"/>
    <x v="26"/>
    <s v="5ª Tranche"/>
    <s v="parcela final"/>
    <s v="TO"/>
    <s v="Liberações"/>
    <n v="117981500"/>
    <n v="117981.5"/>
    <n v="88486120"/>
    <n v="88486.12"/>
    <n v="0.74999995762047444"/>
    <s v="LPT"/>
    <n v="0"/>
    <n v="0"/>
    <n v="0"/>
    <s v="Encerrado"/>
    <s v="05ª"/>
    <s v="ENERGISA"/>
    <s v="Eletrobras"/>
    <n v="0"/>
    <n v="0"/>
    <n v="0"/>
    <n v="0"/>
    <n v="0"/>
    <n v="0"/>
    <n v="0"/>
    <n v="0"/>
    <n v="0"/>
    <n v="0"/>
    <n v="0"/>
    <s v="-"/>
    <n v="0"/>
  </r>
  <r>
    <d v="2017-09-01T00:00:00"/>
    <s v="EQUATORIAL"/>
    <s v="EQUATORIAL MARANHÃO"/>
    <s v="EQUATORIAL MARANHAO DISTRIBUIDORA DE ENERGIA S.A"/>
    <s v="06.272.793/0001-84"/>
    <s v="Programa Luz para Todos"/>
    <d v="2014-10-02T00:00:00"/>
    <n v="193224672"/>
    <n v="193224672"/>
    <n v="193224.67199999999"/>
    <s v="Sistema Antigo"/>
    <s v="Pago"/>
    <x v="27"/>
    <s v="7ª Tranche"/>
    <n v="0"/>
    <s v="MA"/>
    <s v="Liberações"/>
    <n v="285261950"/>
    <n v="285261.95"/>
    <n v="213946460"/>
    <n v="213946.46"/>
    <n v="0.74999999123612526"/>
    <s v="LPT"/>
    <n v="0"/>
    <n v="0"/>
    <n v="0"/>
    <s v="Encerrado"/>
    <s v="07ª"/>
    <s v="EQUATORIAL"/>
    <s v="Eletrobras"/>
    <n v="0"/>
    <n v="0"/>
    <n v="0"/>
    <n v="0"/>
    <n v="0"/>
    <n v="0"/>
    <n v="0"/>
    <n v="0"/>
    <n v="0"/>
    <n v="0"/>
    <n v="0"/>
    <s v="-"/>
    <n v="0"/>
  </r>
  <r>
    <d v="2021-02-01T00:00:00"/>
    <s v="EQUATORIAL"/>
    <s v="EQUATORIAL PARÁ"/>
    <s v="EQUATORIAL PARA DISTRIBUIDORA DE ENERGIA S.A."/>
    <s v="04.895.728/0001-80"/>
    <s v="Programa Luz para Todos"/>
    <d v="2021-02-01T00:00:00"/>
    <n v="15519825"/>
    <n v="15519825"/>
    <n v="15519.825000000001"/>
    <d v="2021-02-02T00:00:00"/>
    <s v="Pago"/>
    <x v="28"/>
    <s v="1ª Tranche"/>
    <n v="0"/>
    <s v="PA"/>
    <s v="Liberações"/>
    <n v="57480830"/>
    <n v="57480.83"/>
    <n v="51732750"/>
    <n v="51732.75"/>
    <n v="0.90000005219131318"/>
    <s v="LPT"/>
    <n v="0"/>
    <n v="0"/>
    <n v="0"/>
    <s v="Encerrado "/>
    <s v="01ª"/>
    <s v="EQUATORIAL"/>
    <s v="Eletrobras"/>
    <n v="0"/>
    <n v="0"/>
    <n v="0"/>
    <n v="0"/>
    <n v="0"/>
    <n v="0"/>
    <n v="0"/>
    <n v="0"/>
    <n v="0"/>
    <n v="0"/>
    <n v="0"/>
    <s v="-"/>
    <n v="0"/>
  </r>
  <r>
    <d v="2021-04-01T00:00:00"/>
    <s v="AMAZONAS ENERGIA"/>
    <s v="AMAZONAS ENERGIA"/>
    <s v="CENTRAIS ELETRICAS BRASILEIRAS SA ELETROBRAS"/>
    <s v="00.001.180/0002-07"/>
    <s v="Mais Luz para Amazônia"/>
    <d v="2021-04-01T00:00:00"/>
    <n v="37278.6"/>
    <n v="37278.6"/>
    <n v="37.278599999999997"/>
    <d v="2021-04-01T00:00:00"/>
    <s v="Pago"/>
    <x v="29"/>
    <s v="1ª Tranche"/>
    <s v="1ª"/>
    <s v="AM"/>
    <s v="Liberações"/>
    <n v="3727860"/>
    <n v="3727.86"/>
    <n v="3355080"/>
    <n v="3355.08"/>
    <n v="0.90000160950250274"/>
    <s v="MLA"/>
    <n v="-422723.60000000003"/>
    <n v="-422.72360000000003"/>
    <n v="-0.12599508804559056"/>
    <s v="Encerrado "/>
    <s v="01ª"/>
    <s v="AMAZONAS ENERGIA"/>
    <s v="Eletrobras"/>
    <n v="-0.12599508804559056"/>
    <n v="-422723.60000000003"/>
    <n v="-422.72360000000003"/>
    <n v="0"/>
    <n v="0"/>
    <n v="0"/>
    <n v="0"/>
    <n v="0"/>
    <n v="0"/>
    <n v="0"/>
    <n v="0"/>
    <s v="-"/>
    <n v="0"/>
  </r>
  <r>
    <d v="2021-04-01T00:00:00"/>
    <s v="AMAZONAS ENERGIA"/>
    <s v="AMAZONAS ENERGIA"/>
    <s v="AMAZONAS ENERGIA S.A"/>
    <s v="02.341.467/0001-20"/>
    <s v="Mais Luz para Amazônia"/>
    <d v="2021-04-01T00:00:00"/>
    <n v="969245.4"/>
    <n v="969245.4"/>
    <n v="969.24540000000002"/>
    <d v="2021-04-01T00:00:00"/>
    <s v="Pago"/>
    <x v="29"/>
    <s v="1ª Tranche"/>
    <s v="1ª"/>
    <s v="AM"/>
    <s v="Liberações"/>
    <n v="0"/>
    <n v="0"/>
    <n v="0"/>
    <n v="0"/>
    <n v="0"/>
    <s v="MLA"/>
    <n v="0"/>
    <n v="0"/>
    <n v="0"/>
    <s v="Encerrado "/>
    <s v="01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22-01-01T00:00:00"/>
    <s v="AMAZONAS ENERGIA"/>
    <s v="AMAZONAS ENERGIA"/>
    <s v="AMAZONAS ENERGIA S.A"/>
    <s v="02.341.467/0001-20"/>
    <s v="Mais Luz para Amazônia"/>
    <d v="2022-01-01T00:00:00"/>
    <n v="2013048"/>
    <n v="2013048"/>
    <n v="2013.048"/>
    <d v="2022-01-28T00:00:00"/>
    <s v="Pago"/>
    <x v="29"/>
    <s v="1ª Tranche"/>
    <s v="2ª "/>
    <s v="AM"/>
    <s v="Liberações"/>
    <n v="0"/>
    <n v="0"/>
    <n v="0"/>
    <n v="0"/>
    <n v="0"/>
    <s v="MLA"/>
    <n v="0"/>
    <n v="0"/>
    <n v="0"/>
    <s v="Encerrado "/>
    <s v="01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21-04-01T00:00:00"/>
    <s v="EQUATORIAL"/>
    <s v="EQUATORIAL PARÁ"/>
    <s v="CENTRAIS ELETRICAS BRASILEIRAS SA ELETROBRAS"/>
    <s v="00.001.180/0002-07"/>
    <s v="Mais Luz para Amazônia"/>
    <d v="2021-04-01T00:00:00"/>
    <n v="3616936.6"/>
    <n v="3616936.6"/>
    <n v="3616.9366"/>
    <d v="2021-04-08T00:00:00"/>
    <s v="Pago"/>
    <x v="30"/>
    <s v="2ª Tranche"/>
    <s v="1ª"/>
    <s v="PA"/>
    <s v="Liberações"/>
    <n v="361693660"/>
    <n v="361693.66"/>
    <n v="325524290"/>
    <n v="325524.28999999998"/>
    <n v="0.89999998894091759"/>
    <s v="MLA"/>
    <n v="-791518.62"/>
    <n v="-791.51861999999994"/>
    <n v="-2.4315193806274792E-3"/>
    <s v="Encerrado "/>
    <s v="02ª"/>
    <s v="EQUATORIAL"/>
    <s v="Eletrobras"/>
    <n v="-2.4315193806274792E-3"/>
    <n v="-791518.62"/>
    <n v="-791.51861999999994"/>
    <n v="0"/>
    <n v="0"/>
    <n v="0"/>
    <n v="0"/>
    <n v="0"/>
    <n v="0"/>
    <n v="0"/>
    <n v="0"/>
    <s v="-"/>
    <n v="0"/>
  </r>
  <r>
    <d v="2021-04-01T00:00:00"/>
    <s v="EQUATORIAL"/>
    <s v="EQUATORIAL PARÁ"/>
    <s v="EQUATORIAL PARA DISTRIBUIDORA DE ENERGIA S.A."/>
    <s v="04.895.728/0001-80"/>
    <s v="Mais Luz para Amazônia"/>
    <d v="2021-04-01T00:00:00"/>
    <n v="94040350.400000006"/>
    <n v="94040350.400000006"/>
    <n v="94040.35040000001"/>
    <d v="2021-04-08T00:00:00"/>
    <s v="Pago"/>
    <x v="30"/>
    <s v="2ª Tranche"/>
    <s v="1ª"/>
    <s v="PA"/>
    <s v="Liberações"/>
    <n v="0"/>
    <n v="0"/>
    <n v="0"/>
    <n v="0"/>
    <n v="0"/>
    <s v="MLA"/>
    <n v="0"/>
    <n v="0"/>
    <n v="0"/>
    <s v="Encerrado "/>
    <s v="02ª"/>
    <s v="EQUATORIAL"/>
    <s v="Eletrobras"/>
    <n v="0"/>
    <n v="0"/>
    <n v="0"/>
    <n v="0"/>
    <n v="0"/>
    <n v="0"/>
    <n v="0"/>
    <n v="0"/>
    <n v="0"/>
    <n v="0"/>
    <n v="0"/>
    <s v="-"/>
    <n v="0"/>
  </r>
  <r>
    <d v="2022-02-01T00:00:00"/>
    <s v="EQUATORIAL"/>
    <s v="EQUATORIAL PARÁ"/>
    <s v="EQUATORIAL PARA DISTRIBUIDORA DE ENERGIA S.A."/>
    <s v="04.895.728/0001-80"/>
    <s v="Mais Luz para Amazônia"/>
    <d v="2022-02-01T00:00:00"/>
    <n v="65104858"/>
    <n v="65104858"/>
    <n v="65104.858"/>
    <d v="2022-02-17T00:00:00"/>
    <s v="Pago"/>
    <x v="30"/>
    <s v="2ª Tranche"/>
    <s v="2ª"/>
    <s v="PA"/>
    <s v="Liberações"/>
    <n v="0"/>
    <n v="0"/>
    <n v="0"/>
    <n v="0"/>
    <n v="0"/>
    <s v="MLA"/>
    <n v="0"/>
    <n v="0"/>
    <n v="0"/>
    <s v="Encerrado "/>
    <s v="02ª"/>
    <s v="EQUATORIAL"/>
    <s v="Eletrobras"/>
    <n v="0"/>
    <n v="0"/>
    <n v="0"/>
    <n v="0"/>
    <n v="0"/>
    <n v="0"/>
    <n v="0"/>
    <n v="0"/>
    <n v="0"/>
    <n v="0"/>
    <n v="0"/>
    <s v="-"/>
    <n v="0"/>
  </r>
  <r>
    <d v="2022-06-01T00:00:00"/>
    <s v="EQUATORIAL"/>
    <s v="EQUATORIAL PARÁ"/>
    <s v="EQUATORIAL PARA DISTRIBUIDORA DE ENERGIA S.A."/>
    <s v="04.895.728/0001-80"/>
    <s v="Mais Luz para Amazônia"/>
    <d v="2022-06-01T00:00:00"/>
    <n v="48828643.5"/>
    <n v="48828643.5"/>
    <n v="48828.643499999998"/>
    <d v="2022-06-24T00:00:00"/>
    <s v="Pago"/>
    <x v="30"/>
    <s v="2ª Tranche"/>
    <s v="3ª "/>
    <s v="PA"/>
    <s v="Liberações"/>
    <n v="0"/>
    <n v="0"/>
    <n v="0"/>
    <n v="0"/>
    <n v="0"/>
    <s v="MLA"/>
    <n v="0"/>
    <n v="0"/>
    <n v="0"/>
    <s v="Encerrado "/>
    <s v="02ª"/>
    <s v="EQUATORIAL"/>
    <s v="Eletrobras"/>
    <n v="0"/>
    <n v="0"/>
    <n v="0"/>
    <n v="0"/>
    <n v="0"/>
    <n v="0"/>
    <n v="0"/>
    <n v="0"/>
    <n v="0"/>
    <n v="0"/>
    <n v="0"/>
    <s v="-"/>
    <n v="0"/>
  </r>
  <r>
    <d v="2022-08-01T00:00:00"/>
    <s v="EQUATORIAL"/>
    <s v="EQUATORIAL PARÁ"/>
    <s v="EQUATORIAL PARA DISTRIBUIDORA DE ENERGIA S.A."/>
    <s v="04.895.728/0001-80"/>
    <s v="Mais Luz para Amazônia"/>
    <d v="2022-08-01T00:00:00"/>
    <n v="81381072.5"/>
    <n v="81381072.5"/>
    <n v="81381.072499999995"/>
    <d v="2022-08-26T00:00:00"/>
    <s v="Pago"/>
    <x v="30"/>
    <s v="2ª Tranche"/>
    <s v="4ª"/>
    <s v="PA"/>
    <s v="Liberações"/>
    <n v="0"/>
    <n v="0"/>
    <n v="0"/>
    <n v="0"/>
    <n v="0"/>
    <s v="MLA"/>
    <n v="0"/>
    <n v="0"/>
    <n v="0"/>
    <s v="Encerrado "/>
    <s v="02ª"/>
    <s v="EQUATORIAL"/>
    <s v="Eletrobras"/>
    <n v="0"/>
    <n v="0"/>
    <n v="0"/>
    <n v="0"/>
    <n v="0"/>
    <n v="0"/>
    <n v="0"/>
    <n v="0"/>
    <n v="0"/>
    <n v="0"/>
    <n v="0"/>
    <s v="-"/>
    <n v="0"/>
  </r>
  <r>
    <d v="2021-10-01T00:00:00"/>
    <s v="RORAIMA ENERGIA"/>
    <s v="RORAIMA ENERGIA"/>
    <s v="CENTRAIS ELETRICAS BRASILEIRAS SA ELETROBRAS"/>
    <s v="00.001.180/0002-07"/>
    <s v="Mais Luz para Amazônia"/>
    <d v="2021-10-01T00:00:00"/>
    <n v="367553.3"/>
    <n v="367553.3"/>
    <n v="367.55329999999998"/>
    <d v="2021-10-22T00:00:00"/>
    <s v="Pago"/>
    <x v="31"/>
    <s v="1ª Tranche"/>
    <s v="1ª"/>
    <s v="RR"/>
    <s v="Liberações"/>
    <n v="37177200"/>
    <n v="37177.199999999997"/>
    <n v="33459480"/>
    <n v="33459.480000000003"/>
    <n v="0.9"/>
    <s v="MLA"/>
    <n v="-3793435.53"/>
    <n v="-3793.4355299999997"/>
    <n v="-0.11337401328412754"/>
    <s v="Encerramento"/>
    <s v="01ª"/>
    <s v="RORAIMA ENERGIA"/>
    <s v="ENBPar"/>
    <n v="-0.21564356439490395"/>
    <n v="-3421886"/>
    <n v="-3421.886"/>
    <n v="-7215321.5300000012"/>
    <n v="-7215.3215300000011"/>
    <n v="33797460"/>
    <n v="33797.46"/>
    <n v="0.90900000000000003"/>
    <n v="3379740"/>
    <n v="3379.74"/>
    <n v="9.0999999999999998E-2"/>
    <s v="Aguardando Resultado da IF"/>
    <n v="0.99690000000000001"/>
  </r>
  <r>
    <d v="2021-10-01T00:00:00"/>
    <s v="RORAIMA ENERGIA"/>
    <s v="RORAIMA ENERGIA"/>
    <s v="RORAIMA ENERGIA S.A"/>
    <s v="02.341.470/0001-44"/>
    <s v="Mais Luz para Amazônia"/>
    <d v="2021-10-01T00:00:00"/>
    <n v="9556383.6999999993"/>
    <n v="9556383.6999999993"/>
    <n v="9556.3836999999985"/>
    <d v="2021-10-07T00:00:00"/>
    <s v="Pago"/>
    <x v="31"/>
    <s v="1ª Tranche"/>
    <s v="1ª"/>
    <s v="RR"/>
    <s v="Liberações"/>
    <n v="0"/>
    <n v="0"/>
    <n v="0"/>
    <n v="0"/>
    <n v="0"/>
    <s v="MLA"/>
    <n v="0"/>
    <n v="0"/>
    <n v="0"/>
    <s v="Encerramento"/>
    <s v="01ª"/>
    <s v="RORAIMA ENERGIA"/>
    <s v="ENBPar"/>
    <n v="0"/>
    <n v="0"/>
    <n v="0"/>
    <n v="0"/>
    <n v="0"/>
    <n v="0"/>
    <n v="0"/>
    <n v="0"/>
    <n v="0"/>
    <n v="0"/>
    <n v="0"/>
    <s v="-"/>
    <n v="0"/>
  </r>
  <r>
    <d v="2023-03-01T00:00:00"/>
    <s v="RORAIMA ENERGIA"/>
    <s v="RORAIMA ENERGIA"/>
    <s v="CENTRAIS ELETRICAS BRASILEIRAS SA ELETROBRAS"/>
    <s v="00.001.180/0002-07"/>
    <s v="Mais Luz para Amazônia"/>
    <d v="2023-03-01T00:00:00"/>
    <n v="4218.7"/>
    <n v="4218.7"/>
    <n v="4.2187000000000001"/>
    <d v="2023-03-01T00:00:00"/>
    <s v="Pago"/>
    <x v="31"/>
    <s v="1ª Tranche"/>
    <s v="1ª"/>
    <s v="RR"/>
    <s v="Liberações"/>
    <n v="0"/>
    <n v="0"/>
    <n v="0"/>
    <n v="0"/>
    <n v="0"/>
    <s v="MLA"/>
    <n v="0"/>
    <n v="0"/>
    <n v="0"/>
    <s v="Encerramento"/>
    <s v="01ª"/>
    <s v="RORAIMA ENERGIA"/>
    <s v="ENBPar"/>
    <n v="0"/>
    <n v="0"/>
    <n v="0"/>
    <n v="0"/>
    <n v="0"/>
    <n v="0"/>
    <n v="0"/>
    <n v="0"/>
    <n v="0"/>
    <n v="0"/>
    <n v="0"/>
    <s v="-"/>
    <n v="0"/>
  </r>
  <r>
    <d v="2023-03-01T00:00:00"/>
    <s v="RORAIMA ENERGIA"/>
    <s v="RORAIMA ENERGIA"/>
    <s v="RORAIMA ENERGIA S.A"/>
    <s v="02.341.470/0001-44"/>
    <s v="Mais Luz para Amazônia"/>
    <d v="2023-03-01T00:00:00"/>
    <n v="109688.3"/>
    <n v="109688.3"/>
    <n v="109.6883"/>
    <d v="2023-03-01T00:00:00"/>
    <s v="Pago"/>
    <x v="31"/>
    <s v="1ª Tranche"/>
    <s v="1ª"/>
    <s v="RR"/>
    <s v="Liberações"/>
    <n v="0"/>
    <n v="0"/>
    <n v="0"/>
    <n v="0"/>
    <n v="0"/>
    <s v="MLA"/>
    <n v="0"/>
    <n v="0"/>
    <n v="0"/>
    <s v="Encerramento"/>
    <s v="01ª"/>
    <s v="RORAIMA ENERGIA"/>
    <s v="ENBPar"/>
    <n v="0"/>
    <n v="0"/>
    <n v="0"/>
    <n v="0"/>
    <n v="0"/>
    <n v="0"/>
    <n v="0"/>
    <n v="0"/>
    <n v="0"/>
    <n v="0"/>
    <n v="0"/>
    <s v="-"/>
    <n v="0"/>
  </r>
  <r>
    <d v="2023-11-01T00:00:00"/>
    <s v="RORAIMA ENERGIA"/>
    <s v="RORAIMA ENERGIA"/>
    <s v="RORAIMA ENERGIA S.A"/>
    <s v="02.341.470/0001-44"/>
    <s v="Mais Luz para Amazônia"/>
    <d v="2023-11-30T00:00:00"/>
    <n v="6615958"/>
    <n v="6615958"/>
    <n v="6615.9579999999996"/>
    <d v="2023-11-30T00:00:00"/>
    <s v="Pago"/>
    <x v="31"/>
    <s v="1ª Tranche"/>
    <s v="3ª"/>
    <s v="RR"/>
    <s v="Liberações"/>
    <n v="0"/>
    <n v="0"/>
    <n v="0"/>
    <n v="0"/>
    <n v="0"/>
    <s v="MLA"/>
    <n v="0"/>
    <n v="0"/>
    <n v="0"/>
    <s v="Encerramento"/>
    <s v="01ª"/>
    <s v="RORAIMA ENERGIA"/>
    <s v="ENBPar"/>
    <n v="0"/>
    <n v="0"/>
    <n v="0"/>
    <n v="0"/>
    <n v="0"/>
    <n v="0"/>
    <n v="0"/>
    <n v="0"/>
    <n v="0"/>
    <n v="0"/>
    <n v="0"/>
    <s v="-"/>
    <n v="0"/>
  </r>
  <r>
    <d v="2025-05-01T00:00:00"/>
    <s v="RORAIMA ENERGIA"/>
    <s v="RORAIMA ENERGIA"/>
    <s v="RORAIMA ENERGIA S.A"/>
    <s v="02.341.470/0001-44"/>
    <s v="Mais Luz para Amazônia"/>
    <d v="2025-05-01T00:00:00"/>
    <n v="5018922"/>
    <n v="5018922"/>
    <n v="5018.9219999999996"/>
    <d v="2025-05-23T00:00:00"/>
    <s v="Pago"/>
    <x v="31"/>
    <s v="1ª Tranche"/>
    <s v="3ª"/>
    <s v="RR"/>
    <s v="Liberações"/>
    <n v="0"/>
    <n v="0"/>
    <n v="0"/>
    <n v="0"/>
    <n v="0"/>
    <s v="MLA"/>
    <n v="0"/>
    <n v="0"/>
    <n v="0"/>
    <s v="Encerramento"/>
    <s v="01ª"/>
    <s v="RORAIMA ENERGIA"/>
    <s v="ENBPar"/>
    <n v="0"/>
    <n v="0"/>
    <n v="0"/>
    <n v="0"/>
    <n v="0"/>
    <n v="0"/>
    <n v="0"/>
    <n v="0"/>
    <n v="0"/>
    <n v="0"/>
    <n v="0"/>
    <s v="-"/>
    <n v="0"/>
  </r>
  <r>
    <d v="2025-05-01T00:00:00"/>
    <s v="RORAIMA ENERGIA"/>
    <s v="RORAIMA ENERGIA"/>
    <s v="RORAIMA ENERGIA S.A"/>
    <s v="02.341.470/0001-44"/>
    <s v="Mais Luz para Amazônia"/>
    <d v="2025-05-01T00:00:00"/>
    <n v="5018922"/>
    <n v="5018922"/>
    <n v="5018.9219999999996"/>
    <d v="2025-05-23T00:00:00"/>
    <s v="Pago"/>
    <x v="31"/>
    <s v="1ª Tranche"/>
    <s v="4ª"/>
    <s v="RR"/>
    <s v="Liberações"/>
    <n v="0"/>
    <n v="0"/>
    <n v="0"/>
    <n v="0"/>
    <n v="0"/>
    <s v="MLA"/>
    <n v="0"/>
    <n v="0"/>
    <n v="0"/>
    <s v="Encerramento"/>
    <s v="01ª"/>
    <s v="RORAIMA ENERGIA"/>
    <s v="ENBPar"/>
    <n v="0"/>
    <n v="0"/>
    <n v="0"/>
    <n v="0"/>
    <n v="0"/>
    <n v="0"/>
    <n v="0"/>
    <n v="0"/>
    <n v="0"/>
    <n v="0"/>
    <n v="0"/>
    <s v="-"/>
    <n v="0"/>
  </r>
  <r>
    <d v="2025-05-01T00:00:00"/>
    <s v="RORAIMA ENERGIA"/>
    <s v="RORAIMA ENERGIA"/>
    <s v="RORAIMA ENERGIA S.A"/>
    <s v="02.341.470/0001-44"/>
    <s v="Mais Luz para Amazônia"/>
    <d v="2025-05-01T00:00:00"/>
    <n v="3345948"/>
    <n v="3345948"/>
    <n v="3345.9479999999999"/>
    <d v="2025-05-23T00:00:00"/>
    <s v="Pago"/>
    <x v="31"/>
    <s v="1ª Tranche"/>
    <s v="5ª"/>
    <s v="RR"/>
    <s v="Liberações"/>
    <n v="0"/>
    <n v="0"/>
    <n v="0"/>
    <n v="0"/>
    <n v="0"/>
    <s v="MLA"/>
    <n v="0"/>
    <n v="0"/>
    <n v="0"/>
    <s v="Encerramento"/>
    <s v="01ª"/>
    <s v="RORAIMA ENERGIA"/>
    <s v="ENBPar"/>
    <n v="0"/>
    <n v="0"/>
    <n v="0"/>
    <n v="0"/>
    <n v="0"/>
    <n v="0"/>
    <n v="0"/>
    <n v="0"/>
    <n v="0"/>
    <n v="0"/>
    <n v="0"/>
    <s v="-"/>
    <n v="0"/>
  </r>
  <r>
    <d v="2022-01-01T00:00:00"/>
    <s v="EQUATORIAL"/>
    <s v="EQUATORIAL MARANHÃO"/>
    <s v="CENTRAIS ELETRICAS BRASILEIRAS SA ELETROBRAS"/>
    <s v="00.001.180/0002-07"/>
    <s v="Mais Luz para Amazônia"/>
    <d v="2022-01-01T00:00:00"/>
    <n v="632509.19999999995"/>
    <n v="632509.19999999995"/>
    <n v="632.50919999999996"/>
    <d v="2022-01-31T00:00:00"/>
    <s v="Pago"/>
    <x v="32"/>
    <s v="1ª Tranche"/>
    <s v="1ª "/>
    <s v="MA"/>
    <s v="Liberações"/>
    <n v="59603860"/>
    <n v="59603.86"/>
    <n v="41722700"/>
    <n v="41722.699999999997"/>
    <n v="0.69999996644512619"/>
    <s v="MLA"/>
    <n v="0"/>
    <n v="0"/>
    <n v="0"/>
    <s v="Encerramento"/>
    <s v="01ª"/>
    <s v="EQUATORIAL"/>
    <s v="ENBPar"/>
    <n v="0"/>
    <n v="0"/>
    <n v="0"/>
    <n v="0"/>
    <n v="0"/>
    <n v="54185330"/>
    <n v="54185.33"/>
    <n v="0.90900000000000003"/>
    <n v="5418530"/>
    <n v="5418.53"/>
    <n v="9.0999999999999998E-2"/>
    <s v="Finalizando Relátorio"/>
    <n v="0.99019999999999997"/>
  </r>
  <r>
    <d v="2022-01-01T00:00:00"/>
    <s v="EQUATORIAL"/>
    <s v="EQUATORIAL MARANHÃO"/>
    <s v="EQUATORIAL MARANHAO DISTRIBUIDORA DE ENERGIA S.A"/>
    <s v="06.272.793/0001-84"/>
    <s v="Mais Luz para Amazônia"/>
    <d v="2022-01-01T00:00:00"/>
    <n v="12650182.800000001"/>
    <n v="12650182.800000001"/>
    <n v="12650.1828"/>
    <d v="2022-01-31T00:00:00"/>
    <s v="Pago"/>
    <x v="32"/>
    <s v="1ª Tranche"/>
    <s v="1ª "/>
    <s v="MA"/>
    <s v="Liberações"/>
    <n v="0"/>
    <n v="0"/>
    <n v="0"/>
    <n v="0"/>
    <n v="0"/>
    <s v="MLA"/>
    <n v="0"/>
    <n v="0"/>
    <n v="0"/>
    <s v="Encerrament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23-10-01T00:00:00"/>
    <s v="EQUATORIAL"/>
    <s v="EQUATORIAL MARANHÃO"/>
    <s v="EQUATORIAL MARANHAO DISTRIBUIDORA DE ENERGIA S.A"/>
    <s v="06.272.793/0001-84"/>
    <s v="Mais Luz para Amazônia"/>
    <d v="2023-10-02T00:00:00"/>
    <n v="7578678.1200000001"/>
    <n v="7578678.1200000001"/>
    <n v="7578.6781200000005"/>
    <d v="2023-10-20T00:00:00"/>
    <s v="Pago"/>
    <x v="32"/>
    <s v="1ª Tranche"/>
    <s v="2ª"/>
    <s v="MA"/>
    <s v="Liberações"/>
    <n v="0"/>
    <n v="0"/>
    <n v="0"/>
    <n v="0"/>
    <n v="0"/>
    <s v="MLA"/>
    <n v="0"/>
    <n v="0"/>
    <n v="0"/>
    <s v="Encerrament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23-11-01T00:00:00"/>
    <s v="EQUATORIAL"/>
    <s v="EQUATORIAL MARANHÃO"/>
    <s v="EQUATORIAL MARANHAO DISTRIBUIDORA DE ENERGIA S.A"/>
    <s v="06.272.793/0001-84"/>
    <s v="Mais Luz para Amazônia"/>
    <d v="2023-10-10T00:00:00"/>
    <n v="6258384.8799999999"/>
    <n v="6258384.8799999999"/>
    <n v="6258.3848799999996"/>
    <d v="2023-11-09T00:00:00"/>
    <s v="Pago"/>
    <x v="32"/>
    <s v="1ª Tranche"/>
    <s v="3ª"/>
    <s v="MA"/>
    <s v="Liberações"/>
    <n v="0"/>
    <n v="0"/>
    <n v="0"/>
    <n v="0"/>
    <n v="0"/>
    <s v="MLA"/>
    <n v="0"/>
    <n v="0"/>
    <n v="0"/>
    <s v="Encerrament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23-12-01T00:00:00"/>
    <s v="EQUATORIAL"/>
    <s v="EQUATORIAL MARANHÃO"/>
    <s v="EQUATORIAL MARANHAO DISTRIBUIDORA DE ENERGIA S.A"/>
    <s v="06.272.793/0001-84"/>
    <s v="Mais Luz para Amazônia"/>
    <d v="2023-11-01T00:00:00"/>
    <n v="6258405"/>
    <n v="6258405"/>
    <n v="6258.4049999999997"/>
    <d v="2023-12-08T00:00:00"/>
    <s v="Pago"/>
    <x v="32"/>
    <s v="1ª Tranche"/>
    <s v="4ª"/>
    <s v="MA"/>
    <s v="Liberações"/>
    <n v="0"/>
    <n v="0"/>
    <n v="0"/>
    <n v="0"/>
    <n v="0"/>
    <s v="MLA"/>
    <n v="0"/>
    <n v="0"/>
    <n v="0"/>
    <s v="Encerrament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23-12-01T00:00:00"/>
    <s v="EQUATORIAL"/>
    <s v="EQUATORIAL MARANHÃO"/>
    <s v="EQUATORIAL MARANHAO DISTRIBUIDORA DE ENERGIA S.A"/>
    <s v="06.272.793/0001-84"/>
    <s v="Mais Luz para Amazônia"/>
    <d v="2023-12-01T00:00:00"/>
    <n v="4172270"/>
    <n v="4172270"/>
    <n v="4172.2700000000004"/>
    <d v="2023-12-28T00:00:00"/>
    <s v="Pago"/>
    <x v="32"/>
    <s v="1ª Tranche"/>
    <s v="5ª"/>
    <s v="MA"/>
    <s v="Liberações"/>
    <n v="0"/>
    <n v="0"/>
    <n v="0"/>
    <n v="0"/>
    <n v="0"/>
    <s v="MLA"/>
    <n v="0"/>
    <n v="0"/>
    <n v="0"/>
    <s v="Encerrament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22-01-01T00:00:00"/>
    <s v="AMAZONAS ENERGIA"/>
    <s v="AMAZONAS ENERGIA"/>
    <s v="CENTRAIS ELETRICAS BRASILEIRAS SA ELETROBRAS"/>
    <s v="00.001.180/0002-07"/>
    <s v="Mais Luz para Amazônia"/>
    <d v="2022-01-01T00:00:00"/>
    <n v="2096523.8"/>
    <n v="2096523.8"/>
    <n v="2096.5237999999999"/>
    <d v="2022-01-20T00:00:00"/>
    <s v="Pago"/>
    <x v="33"/>
    <s v="2ª Tranche"/>
    <s v="1ª "/>
    <s v="AM"/>
    <s v="Liberações"/>
    <n v="209652380"/>
    <n v="209652.38"/>
    <n v="188687140"/>
    <n v="188687.14"/>
    <n v="0.89999999046039925"/>
    <s v="MLA"/>
    <n v="-24736890.989999998"/>
    <n v="-24736.89099"/>
    <n v="-0.13110003675926191"/>
    <s v="Encerramento"/>
    <s v="02ª"/>
    <s v="AMAZONAS ENERGIA"/>
    <s v="ENBPar"/>
    <n v="-0.23110003675926188"/>
    <n v="-24736890.989999998"/>
    <n v="-24736.89099"/>
    <n v="-43605604.989999995"/>
    <n v="-43605.604989999993"/>
    <n v="190593070"/>
    <n v="190593.07"/>
    <n v="0.90900000000000003"/>
    <n v="19059310"/>
    <n v="19059.310000000001"/>
    <n v="9.0999999999999998E-2"/>
    <s v="Falta Aprovação da Diretoria"/>
    <n v="1"/>
  </r>
  <r>
    <d v="2022-01-01T00:00:00"/>
    <s v="AMAZONAS ENERGIA"/>
    <s v="AMAZONAS ENERGIA"/>
    <s v="AMAZONAS ENERGIA S.A"/>
    <s v="02.341.467/0001-20"/>
    <s v="Mais Luz para Amazônia"/>
    <d v="2022-01-01T00:00:00"/>
    <n v="54509618.200000003"/>
    <n v="54509618.200000003"/>
    <n v="54509.618200000004"/>
    <d v="2022-01-20T00:00:00"/>
    <s v="Pago"/>
    <x v="33"/>
    <s v="2ª Tranche"/>
    <s v="1ª "/>
    <s v="AM"/>
    <s v="Liberações"/>
    <n v="0"/>
    <n v="0"/>
    <n v="0"/>
    <n v="0"/>
    <n v="0"/>
    <s v="MLA"/>
    <n v="0"/>
    <n v="0"/>
    <n v="0"/>
    <s v="Encerramento"/>
    <s v="02ª"/>
    <s v="AMAZONAS ENERGIA"/>
    <s v="ENBPar"/>
    <n v="0"/>
    <n v="0"/>
    <n v="0"/>
    <n v="0"/>
    <n v="0"/>
    <n v="0"/>
    <n v="0"/>
    <n v="0"/>
    <n v="0"/>
    <n v="0"/>
    <n v="0"/>
    <s v="-"/>
    <n v="0"/>
  </r>
  <r>
    <d v="2023-04-01T00:00:00"/>
    <s v="AMAZONAS ENERGIA"/>
    <s v="AMAZONAS ENERGIA"/>
    <s v="AMAZONAS ENERGIA S.A"/>
    <s v="02.341.467/0001-20"/>
    <s v="Mais Luz para Amazônia"/>
    <d v="2023-04-01T00:00:00"/>
    <n v="37737428"/>
    <n v="37737428"/>
    <n v="37737.428"/>
    <d v="2023-04-28T00:00:00"/>
    <s v="Pago"/>
    <x v="33"/>
    <s v="2ª Tranche"/>
    <s v="2ª"/>
    <s v="AM"/>
    <s v="Liberações"/>
    <n v="0"/>
    <n v="0"/>
    <n v="0"/>
    <n v="0"/>
    <n v="0"/>
    <s v="MLA"/>
    <n v="0"/>
    <n v="0"/>
    <n v="0"/>
    <s v="Encerramento"/>
    <s v="02ª"/>
    <s v="AMAZONAS ENERGIA"/>
    <s v="ENBPar"/>
    <n v="0"/>
    <n v="0"/>
    <n v="0"/>
    <n v="0"/>
    <n v="0"/>
    <n v="0"/>
    <n v="0"/>
    <n v="0"/>
    <n v="0"/>
    <n v="0"/>
    <n v="0"/>
    <s v="-"/>
    <n v="0"/>
  </r>
  <r>
    <d v="2023-05-01T00:00:00"/>
    <s v="AMAZONAS ENERGIA"/>
    <s v="AMAZONAS ENERGIA"/>
    <s v="AMAZONAS ENERGIA S.A"/>
    <s v="02.341.467/0001-20"/>
    <s v="Mais Luz para Amazônia"/>
    <d v="2023-05-01T00:00:00"/>
    <n v="28303071"/>
    <n v="28303071"/>
    <n v="28303.071"/>
    <d v="2023-05-31T00:00:00"/>
    <s v="Pago"/>
    <x v="33"/>
    <s v="2ª Tranche"/>
    <s v="3ª "/>
    <s v="AM"/>
    <s v="Liberações"/>
    <n v="0"/>
    <n v="0"/>
    <n v="0"/>
    <n v="0"/>
    <n v="0"/>
    <s v="MLA"/>
    <n v="0"/>
    <n v="0"/>
    <n v="0"/>
    <s v="Encerramento"/>
    <s v="02ª"/>
    <s v="AMAZONAS ENERGIA"/>
    <s v="ENBPar"/>
    <n v="0"/>
    <n v="0"/>
    <n v="0"/>
    <n v="0"/>
    <n v="0"/>
    <n v="0"/>
    <n v="0"/>
    <n v="0"/>
    <n v="0"/>
    <n v="0"/>
    <n v="0"/>
    <s v="-"/>
    <n v="0"/>
  </r>
  <r>
    <d v="2023-07-01T00:00:00"/>
    <s v="AMAZONAS ENERGIA"/>
    <s v="AMAZONAS ENERGIA"/>
    <s v="AMAZONAS ENERGIA S.A"/>
    <s v="02.341.467/0001-20"/>
    <s v="Mais Luz para Amazônia"/>
    <d v="2023-07-01T00:00:00"/>
    <n v="28303071"/>
    <n v="28303071"/>
    <n v="28303.071"/>
    <d v="2023-07-21T00:00:00"/>
    <s v="Pago"/>
    <x v="33"/>
    <s v="2ª Tranche"/>
    <s v="4ª"/>
    <s v="AM"/>
    <s v="Liberações"/>
    <n v="0"/>
    <n v="0"/>
    <n v="0"/>
    <n v="0"/>
    <n v="0"/>
    <s v="MLA"/>
    <n v="0"/>
    <n v="0"/>
    <n v="0"/>
    <s v="Encerramento"/>
    <s v="02ª"/>
    <s v="AMAZONAS ENERGIA"/>
    <s v="ENBPar"/>
    <n v="0"/>
    <n v="0"/>
    <n v="0"/>
    <n v="0"/>
    <n v="0"/>
    <n v="0"/>
    <n v="0"/>
    <n v="0"/>
    <n v="0"/>
    <n v="0"/>
    <n v="0"/>
    <s v="-"/>
    <n v="0"/>
  </r>
  <r>
    <d v="2023-08-01T00:00:00"/>
    <s v="AMAZONAS ENERGIA"/>
    <s v="AMAZONAS ENERGIA"/>
    <s v="AMAZONAS ENERGIA S.A"/>
    <s v="02.341.467/0001-20"/>
    <s v="Mais Luz para Amazônia"/>
    <d v="2023-08-01T00:00:00"/>
    <n v="18868714"/>
    <n v="18868714"/>
    <n v="18868.714"/>
    <d v="2023-08-25T00:00:00"/>
    <s v="Pago"/>
    <x v="33"/>
    <s v="2ª Tranche"/>
    <s v="5ª"/>
    <s v="AM"/>
    <s v="Liberações"/>
    <n v="0"/>
    <n v="0"/>
    <n v="0"/>
    <n v="0"/>
    <n v="0"/>
    <s v="MLA"/>
    <n v="0"/>
    <n v="0"/>
    <n v="0"/>
    <s v="Encerramento"/>
    <s v="02ª"/>
    <s v="AMAZONAS ENERGIA"/>
    <s v="ENBPar"/>
    <n v="0"/>
    <n v="0"/>
    <n v="0"/>
    <n v="0"/>
    <n v="0"/>
    <n v="0"/>
    <n v="0"/>
    <n v="0"/>
    <n v="0"/>
    <n v="0"/>
    <n v="0"/>
    <s v="-"/>
    <n v="0"/>
  </r>
  <r>
    <d v="2022-03-01T00:00:00"/>
    <s v="ENERGISA"/>
    <s v="ENERGISA RO"/>
    <s v="CENTRAIS ELETRICAS BRASILEIRAS SA ELETROBRAS"/>
    <s v="00.001.180/0002-07"/>
    <s v="Mais Luz para Amazônia"/>
    <d v="2022-03-01T00:00:00"/>
    <n v="329045.5"/>
    <n v="329045.5"/>
    <n v="329.0455"/>
    <d v="2022-03-18T00:00:00"/>
    <s v="Pago"/>
    <x v="34"/>
    <s v="1ª Tranche"/>
    <s v="1ª "/>
    <s v="RO"/>
    <s v="Liberações"/>
    <n v="31629920"/>
    <n v="31629.919999999998"/>
    <n v="28466920"/>
    <n v="28466.92"/>
    <n v="0.89999974707492147"/>
    <s v="MLA"/>
    <n v="-1060513.8899999999"/>
    <n v="-1060.5138899999999"/>
    <n v="-3.7254254763072363E-2"/>
    <s v="Encerrado "/>
    <s v="01ª"/>
    <s v="ENERGISA"/>
    <s v="Eletrobras"/>
    <n v="-3.7254254763072363E-2"/>
    <n v="-1060513.8899999999"/>
    <n v="-1060.5138899999999"/>
    <n v="0"/>
    <n v="0"/>
    <n v="0"/>
    <n v="0"/>
    <n v="0"/>
    <n v="0"/>
    <n v="0"/>
    <n v="0"/>
    <s v="-"/>
    <n v="0"/>
  </r>
  <r>
    <d v="2022-03-01T00:00:00"/>
    <s v="ENERGISA"/>
    <s v="ENERGISA RO"/>
    <s v="ENERGISA RONDONIA - DISTRIBUIDORA DE ENERGIA S.A"/>
    <s v="05.914.650/0001-66"/>
    <s v="Mais Luz para Amazônia"/>
    <d v="2022-03-01T00:00:00"/>
    <n v="8555184.5"/>
    <n v="8555184.5"/>
    <n v="8555.1844999999994"/>
    <d v="2022-03-18T00:00:00"/>
    <s v="Pago"/>
    <x v="34"/>
    <s v="1ª Tranche"/>
    <s v="1ª "/>
    <s v="RO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2-09-01T00:00:00"/>
    <s v="ENERGISA"/>
    <s v="ENERGISA RO"/>
    <s v="ENERGISA RONDONIA - DISTRIBUIDORA DE ENERGIA S.A"/>
    <s v="05.914.650/0001-66"/>
    <s v="Mais Luz para Amazônia"/>
    <d v="2022-09-01T00:00:00"/>
    <n v="5922820"/>
    <n v="5922820"/>
    <n v="5922.82"/>
    <d v="2022-09-26T00:00:00"/>
    <s v="Pago"/>
    <x v="34"/>
    <s v="1ª Tranche"/>
    <s v="2ª"/>
    <s v="RO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2-10-01T00:00:00"/>
    <s v="ENERGISA"/>
    <s v="ENERGISA RO"/>
    <s v="ENERGISA RONDONIA - DISTRIBUIDORA DE ENERGIA S.A"/>
    <s v="05.914.650/0001-66"/>
    <s v="Mais Luz para Amazônia"/>
    <d v="2022-10-01T00:00:00"/>
    <n v="4442115"/>
    <n v="4442115"/>
    <n v="4442.1149999999998"/>
    <d v="2022-10-28T00:00:00"/>
    <s v="Pago"/>
    <x v="34"/>
    <s v="1ª Tranche"/>
    <s v="3ª "/>
    <s v="RO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2-11-01T00:00:00"/>
    <s v="ENERGISA"/>
    <s v="ENERGISA RO"/>
    <s v="ENERGISA RONDONIA - DISTRIBUIDORA DE ENERGIA S.A"/>
    <s v="05.914.650/0001-66"/>
    <s v="Mais Luz para Amazônia"/>
    <d v="2022-11-01T00:00:00"/>
    <n v="4442115"/>
    <n v="4442115"/>
    <n v="4442.1149999999998"/>
    <d v="2022-11-11T00:00:00"/>
    <s v="Pago"/>
    <x v="34"/>
    <s v="1ª Tranche"/>
    <s v="4ª"/>
    <s v="RO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3-01-01T00:00:00"/>
    <s v="ENERGISA"/>
    <s v="ENERGISA RO"/>
    <s v="ENERGISA RONDONIA - DISTRIBUIDORA DE ENERGIA S.A"/>
    <s v="05.914.650/0001-66"/>
    <s v="Mais Luz para Amazônia"/>
    <d v="2023-01-01T00:00:00"/>
    <n v="2961410"/>
    <n v="2961410"/>
    <n v="2961.41"/>
    <d v="2023-01-27T00:00:00"/>
    <s v="Pago"/>
    <x v="34"/>
    <s v="1ª Tranche"/>
    <s v="5ª "/>
    <s v="RO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4-02-01T00:00:00"/>
    <s v="ENERGISA"/>
    <s v="ENERGISA RO"/>
    <s v="ENERGISA RONDONIA - DISTRIBUIDORA DE ENERGIA S.A"/>
    <s v="05.914.650/0001-66"/>
    <s v="Mais Luz para Amazônia"/>
    <d v="2024-02-01T00:00:00"/>
    <n v="1335648.8799999999"/>
    <n v="1335648.8799999999"/>
    <n v="1335.64888"/>
    <d v="2024-02-16T00:00:00"/>
    <s v="Pago"/>
    <x v="34"/>
    <s v="1ª Tranche"/>
    <s v="parcela final"/>
    <s v="RO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2-04-01T00:00:00"/>
    <s v="ENERGISA"/>
    <s v="ENERGISA AC"/>
    <s v="CENTRAIS ELETRICAS BRASILEIRAS SA ELETROBRAS"/>
    <s v="00.001.180/0002-07"/>
    <s v="Mais Luz para Amazônia"/>
    <d v="2022-04-01T00:00:00"/>
    <n v="660685.69999999995"/>
    <n v="660685.69999999995"/>
    <n v="660.6857"/>
    <d v="2022-04-29T00:00:00"/>
    <s v="Pago"/>
    <x v="35"/>
    <s v="1ª Tranche"/>
    <s v="1ª"/>
    <s v="AC"/>
    <s v="Liberações"/>
    <n v="66068570"/>
    <n v="66068.570000000007"/>
    <n v="59461710"/>
    <n v="59461.71"/>
    <n v="0.89999995459263005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2-04-01T00:00:00"/>
    <s v="ENERGISA"/>
    <s v="ENERGISA AC"/>
    <s v="ENERGISA ACRE - DISTRIBUIDORA DE ENERGIA S.A"/>
    <s v="04.065.033/0001-70"/>
    <s v="Mais Luz para Amazônia"/>
    <d v="2022-04-01T00:00:00"/>
    <n v="17177827.300000001"/>
    <n v="17177827.300000001"/>
    <n v="17177.827300000001"/>
    <d v="2022-04-29T00:00:00"/>
    <s v="Pago"/>
    <x v="35"/>
    <s v="1ª Tranche"/>
    <s v="1ª"/>
    <s v="AC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2-09-01T00:00:00"/>
    <s v="ENERGISA"/>
    <s v="ENERGISA AC"/>
    <s v="ENERGISA ACRE - DISTRIBUIDORA DE ENERGIA S.A"/>
    <s v="04.065.033/0001-70"/>
    <s v="Mais Luz para Amazônia"/>
    <d v="2022-09-01T00:00:00"/>
    <n v="11892342"/>
    <n v="11892342"/>
    <n v="11892.342000000001"/>
    <d v="2022-09-15T00:00:00"/>
    <s v="Pago"/>
    <x v="35"/>
    <s v="1ª Tranche"/>
    <s v="2ª"/>
    <s v="AC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2-10-01T00:00:00"/>
    <s v="ENERGISA"/>
    <s v="ENERGISA AC"/>
    <s v="ENERGISA ACRE - DISTRIBUIDORA DE ENERGIA S.A"/>
    <s v="04.065.033/0001-70"/>
    <s v="Mais Luz para Amazônia"/>
    <d v="2022-09-01T00:00:00"/>
    <n v="8919256.5"/>
    <n v="8919256.5"/>
    <n v="8919.2564999999995"/>
    <d v="2022-10-07T00:00:00"/>
    <s v="Pago"/>
    <x v="35"/>
    <s v="1ª Tranche"/>
    <s v="3ª "/>
    <s v="AC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3-04-01T00:00:00"/>
    <s v="ENERGISA"/>
    <s v="ENERGISA AC"/>
    <s v="ENERGISA ACRE - DISTRIBUIDORA DE ENERGIA S.A"/>
    <s v="04.065.033/0001-70"/>
    <s v="Mais Luz para Amazônia"/>
    <d v="2023-04-01T00:00:00"/>
    <n v="8919256.5"/>
    <n v="8919256.5"/>
    <n v="8919.2564999999995"/>
    <d v="2023-04-10T00:00:00"/>
    <s v="Pago"/>
    <x v="35"/>
    <s v="1ª Tranche"/>
    <s v="4ª"/>
    <s v="AC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3-06-01T00:00:00"/>
    <s v="ENERGISA"/>
    <s v="ENERGISA AC"/>
    <s v="ENERGISA ACRE - DISTRIBUIDORA DE ENERGIA S.A"/>
    <s v="04.065.033/0001-70"/>
    <s v="Mais Luz para Amazônia"/>
    <d v="2023-06-01T00:00:00"/>
    <n v="5946171"/>
    <n v="5946171"/>
    <n v="5946.1710000000003"/>
    <d v="2023-06-30T00:00:00"/>
    <s v="Pago"/>
    <x v="35"/>
    <s v="1ª Tranche"/>
    <s v="5ª"/>
    <s v="AC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4-06-01T00:00:00"/>
    <s v="ENERGISA"/>
    <s v="ENERGISA AC"/>
    <s v="ENERGISA ACRE - DISTRIBUIDORA DE ENERGIA S.A"/>
    <s v="04.065.033/0001-70"/>
    <s v="Mais Luz para Amazônia"/>
    <d v="2024-06-01T00:00:00"/>
    <n v="2383554.65"/>
    <n v="2383554.65"/>
    <n v="2383.55465"/>
    <d v="2024-06-21T00:00:00"/>
    <s v="Pago"/>
    <x v="35"/>
    <s v="1ª Tranche"/>
    <s v="parcela final"/>
    <s v="AC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2-09-01T00:00:00"/>
    <s v="ENERGISA"/>
    <s v="ENERGISA MT"/>
    <s v="CENTRAIS ELETRICAS BRASILEIRAS SA ELETROBRAS"/>
    <s v="00.001.180/0002-07"/>
    <s v="Mais Luz para Amazônia"/>
    <d v="2022-09-01T00:00:00"/>
    <n v="186294.1"/>
    <n v="186294.1"/>
    <n v="186.29410000000001"/>
    <d v="2022-09-09T00:00:00"/>
    <s v="Pago"/>
    <x v="36"/>
    <s v="1ª Tranche"/>
    <s v="1ª"/>
    <s v="MT"/>
    <s v="Liberações"/>
    <n v="18629410"/>
    <n v="18629.41"/>
    <n v="16766470"/>
    <n v="16766.47"/>
    <n v="0.90000005367856528"/>
    <s v="MLA"/>
    <n v="-1894623.01"/>
    <n v="-1894.62301"/>
    <n v="-0.11300070974987579"/>
    <s v="Encerramento"/>
    <s v="01ª"/>
    <s v="ENERGISA"/>
    <s v="ENBPar"/>
    <n v="-0.31300070974987576"/>
    <n v="-1894623.01"/>
    <n v="-1894.62301"/>
    <n v="-5247917.01"/>
    <n v="-5247.9170100000001"/>
    <n v="16934300"/>
    <n v="16934.3"/>
    <n v="0.90900000000000003"/>
    <n v="1695110"/>
    <n v="1695.11"/>
    <n v="9.0999999999999998E-2"/>
    <s v="Aguendar Supervisão Financeira"/>
    <n v="1.0102"/>
  </r>
  <r>
    <d v="2022-09-01T00:00:00"/>
    <s v="ENERGISA"/>
    <s v="ENERGISA MT"/>
    <s v="ENERGISA MATO GROSSO - DISTRIBUIDORA DE ENERGIA S.A."/>
    <s v="03.467.321/0001-99"/>
    <s v="Mais Luz para Amazônia"/>
    <d v="2022-09-01T00:00:00"/>
    <n v="4843646.9000000004"/>
    <n v="4843646.9000000004"/>
    <n v="4843.6469000000006"/>
    <d v="2022-09-09T00:00:00"/>
    <s v="Pago"/>
    <x v="36"/>
    <s v="1ª Tranche"/>
    <s v="1ª"/>
    <s v="MT"/>
    <s v="Liberações"/>
    <n v="0"/>
    <n v="0"/>
    <n v="0"/>
    <n v="0"/>
    <n v="0"/>
    <s v="MLA"/>
    <n v="0"/>
    <n v="0"/>
    <n v="0"/>
    <s v="Encerramento"/>
    <s v="01ª"/>
    <s v="ENERGISA"/>
    <s v="ENBPar"/>
    <n v="0"/>
    <n v="0"/>
    <n v="0"/>
    <n v="0"/>
    <n v="0"/>
    <n v="0"/>
    <n v="0"/>
    <n v="0"/>
    <n v="0"/>
    <n v="0"/>
    <n v="0"/>
    <s v="-"/>
    <n v="0"/>
  </r>
  <r>
    <d v="2022-10-01T00:00:00"/>
    <s v="ENERGISA"/>
    <s v="ENERGISA MT"/>
    <s v="ENERGISA MATO GROSSO - DISTRIBUIDORA DE ENERGIA S.A."/>
    <s v="03.467.321/0001-99"/>
    <s v="Mais Luz para Amazônia"/>
    <d v="2022-10-01T00:00:00"/>
    <n v="3353294"/>
    <n v="3353294"/>
    <n v="3353.2939999999999"/>
    <d v="2022-10-31T00:00:00"/>
    <s v="Pago"/>
    <x v="36"/>
    <s v="1ª Tranche"/>
    <s v="2ª "/>
    <s v="MT"/>
    <s v="Liberações"/>
    <n v="0"/>
    <n v="0"/>
    <n v="0"/>
    <n v="0"/>
    <n v="0"/>
    <s v="MLA"/>
    <n v="0"/>
    <n v="0"/>
    <n v="0"/>
    <s v="Encerramento"/>
    <s v="01ª"/>
    <s v="ENERGISA"/>
    <s v="ENBPar"/>
    <n v="0"/>
    <n v="0"/>
    <n v="0"/>
    <n v="0"/>
    <n v="0"/>
    <n v="0"/>
    <n v="0"/>
    <n v="0"/>
    <n v="0"/>
    <n v="0"/>
    <n v="0"/>
    <s v="-"/>
    <n v="0"/>
  </r>
  <r>
    <d v="2023-03-01T00:00:00"/>
    <s v="ENERGISA"/>
    <s v="ENERGISA MT"/>
    <s v="ENERGISA MATO GROSSO - DISTRIBUIDORA DE ENERGIA S.A."/>
    <s v="03.467.321/0001-99"/>
    <s v="Mais Luz para Amazônia"/>
    <d v="2023-03-01T00:00:00"/>
    <n v="2514970.5"/>
    <n v="2514970.5"/>
    <n v="2514.9704999999999"/>
    <d v="2023-03-14T00:00:00"/>
    <s v="Pago"/>
    <x v="36"/>
    <s v="1ª Tranche"/>
    <s v="3ª "/>
    <s v="MT"/>
    <s v="Liberações"/>
    <n v="0"/>
    <n v="0"/>
    <n v="0"/>
    <n v="0"/>
    <n v="0"/>
    <s v="MLA"/>
    <n v="0"/>
    <n v="0"/>
    <n v="0"/>
    <s v="Encerramento"/>
    <s v="01ª"/>
    <s v="ENERGISA"/>
    <s v="ENBPar"/>
    <n v="0"/>
    <n v="0"/>
    <n v="0"/>
    <n v="0"/>
    <n v="0"/>
    <n v="0"/>
    <n v="0"/>
    <n v="0"/>
    <n v="0"/>
    <n v="0"/>
    <n v="0"/>
    <s v="-"/>
    <n v="0"/>
  </r>
  <r>
    <d v="2023-11-01T00:00:00"/>
    <s v="ENERGISA"/>
    <s v="ENERGISA MT"/>
    <s v="ENERGISA MATO GROSSO - DISTRIBUIDORA DE ENERGIA S.A."/>
    <s v="03.467.321/0001-99"/>
    <s v="Mais Luz para Amazônia"/>
    <d v="2023-11-28T00:00:00"/>
    <n v="2514970.5"/>
    <n v="2514970.5"/>
    <n v="2514.9704999999999"/>
    <d v="2023-11-30T00:00:00"/>
    <s v="Pago"/>
    <x v="36"/>
    <s v="1ª Tranche"/>
    <s v="4ª"/>
    <s v="MT"/>
    <s v="Liberações"/>
    <n v="0"/>
    <n v="0"/>
    <n v="0"/>
    <n v="0"/>
    <n v="0"/>
    <s v="MLA"/>
    <n v="0"/>
    <n v="0"/>
    <n v="0"/>
    <s v="Encerramento"/>
    <s v="01ª"/>
    <s v="ENERGISA"/>
    <s v="ENBPar"/>
    <n v="0"/>
    <n v="0"/>
    <n v="0"/>
    <n v="0"/>
    <n v="0"/>
    <n v="0"/>
    <n v="0"/>
    <n v="0"/>
    <n v="0"/>
    <n v="0"/>
    <n v="0"/>
    <s v="-"/>
    <n v="0"/>
  </r>
  <r>
    <d v="2022-06-01T00:00:00"/>
    <s v="ENERGISA"/>
    <s v="ENERGISA TO"/>
    <s v="CENTRAIS ELETRICAS BRASILEIRAS SA ELETROBRAS"/>
    <s v="00.001.180/0002-07"/>
    <s v="Mais Luz para Amazônia"/>
    <d v="2022-06-01T00:00:00"/>
    <n v="248974.9"/>
    <n v="248974.9"/>
    <n v="248.97489999999999"/>
    <d v="2022-06-13T00:00:00"/>
    <s v="Pago"/>
    <x v="37"/>
    <s v="1ª Tranche"/>
    <s v="1ª"/>
    <s v="TO"/>
    <s v="Liberações"/>
    <n v="24897490"/>
    <n v="24897.49"/>
    <n v="22407740"/>
    <n v="22407.74"/>
    <n v="0.89999995983530867"/>
    <s v="MLA"/>
    <n v="-1656940.51"/>
    <n v="-1656.9405099999999"/>
    <n v="-7.3945007841040647E-2"/>
    <s v="Encerrado "/>
    <s v="01ª"/>
    <s v="ENERGISA"/>
    <s v="Eletrobras"/>
    <n v="-7.3945007841040647E-2"/>
    <n v="-1656940.51"/>
    <n v="-1656.9405099999999"/>
    <n v="0"/>
    <n v="0"/>
    <n v="0"/>
    <n v="0"/>
    <n v="0"/>
    <n v="0"/>
    <n v="0"/>
    <n v="0"/>
    <s v="-"/>
    <n v="0"/>
  </r>
  <r>
    <d v="2022-06-01T00:00:00"/>
    <s v="ENERGISA"/>
    <s v="ENERGISA TO"/>
    <s v="ENERGISA TOCANTINS DISTRIBUIDORA DE ENERGIA S.A."/>
    <s v="25.086.034/0001-71"/>
    <s v="Mais Luz para Amazônia"/>
    <d v="2022-06-01T00:00:00"/>
    <n v="6473347.0999999996"/>
    <n v="6473347.0999999996"/>
    <n v="6473.3471"/>
    <d v="2022-06-13T00:00:00"/>
    <s v="Pago"/>
    <x v="37"/>
    <s v="1ª Tranche"/>
    <s v="1ª"/>
    <s v="TO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3-01-01T00:00:00"/>
    <s v="ENERGISA"/>
    <s v="ENERGISA TO"/>
    <s v="ENERGISA TOCANTINS DISTRIBUIDORA DE ENERGIA S.A."/>
    <s v="25.086.034/0001-71"/>
    <s v="Mais Luz para Amazônia"/>
    <d v="2023-01-01T00:00:00"/>
    <n v="4481548"/>
    <n v="4481548"/>
    <n v="4481.5479999999998"/>
    <d v="2023-01-16T00:00:00"/>
    <s v="Pago"/>
    <x v="37"/>
    <s v="1ª Tranche"/>
    <s v="2ª "/>
    <s v="TO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3-03-01T00:00:00"/>
    <s v="ENERGISA"/>
    <s v="ENERGISA TO"/>
    <s v="ENERGISA TOCANTINS DISTRIBUIDORA DE ENERGIA S.A."/>
    <s v="25.086.034/0001-71"/>
    <s v="Mais Luz para Amazônia"/>
    <d v="2023-03-01T00:00:00"/>
    <n v="3361161"/>
    <n v="3361161"/>
    <n v="3361.1610000000001"/>
    <d v="2023-03-03T00:00:00"/>
    <s v="Pago"/>
    <x v="37"/>
    <s v="1ª Tranche"/>
    <s v="3ª "/>
    <s v="TO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3-04-01T00:00:00"/>
    <s v="ENERGISA"/>
    <s v="ENERGISA TO"/>
    <s v="ENERGISA TOCANTINS DISTRIBUIDORA DE ENERGIA S.A."/>
    <s v="25.086.034/0001-71"/>
    <s v="Mais Luz para Amazônia"/>
    <d v="2023-04-01T00:00:00"/>
    <n v="3361161"/>
    <n v="3361161"/>
    <n v="3361.1610000000001"/>
    <d v="2023-04-14T00:00:00"/>
    <s v="Pago"/>
    <x v="37"/>
    <s v="1ª Tranche"/>
    <s v="4ª"/>
    <s v="TO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3-09-01T00:00:00"/>
    <s v="ENERGISA"/>
    <s v="ENERGISA TO"/>
    <s v="ENERGISA TOCANTINS DISTRIBUIDORA DE ENERGIA S.A."/>
    <s v="25.086.034/0001-71"/>
    <s v="Mais Luz para Amazônia"/>
    <d v="2023-09-06T00:00:00"/>
    <n v="2240774"/>
    <n v="2240774"/>
    <n v="2240.7739999999999"/>
    <d v="2023-09-22T00:00:00"/>
    <s v="Pago"/>
    <x v="37"/>
    <s v="1ª Tranche"/>
    <s v="5ª"/>
    <s v="TO"/>
    <s v="Liberações"/>
    <n v="0"/>
    <n v="0"/>
    <n v="0"/>
    <n v="0"/>
    <n v="0"/>
    <s v="MLA"/>
    <n v="0"/>
    <n v="0"/>
    <n v="0"/>
    <s v="Encerrado "/>
    <s v="01ª"/>
    <s v="ENERGISA"/>
    <s v="Eletrobras"/>
    <n v="0"/>
    <n v="0"/>
    <n v="0"/>
    <n v="0"/>
    <n v="0"/>
    <n v="0"/>
    <n v="0"/>
    <n v="0"/>
    <n v="0"/>
    <n v="0"/>
    <n v="0"/>
    <s v="-"/>
    <n v="0"/>
  </r>
  <r>
    <d v="2022-06-01T00:00:00"/>
    <s v="EQUATORIAL"/>
    <s v="EQUATORIAL PARÁ"/>
    <s v="CENTRAIS ELETRICAS BRASILEIRAS SA ELETROBRAS"/>
    <s v="00.001.180/0002-07"/>
    <s v="Mais Luz para Amazônia"/>
    <d v="2022-06-01T00:00:00"/>
    <n v="2244084.7999999998"/>
    <n v="2244084.7999999998"/>
    <n v="2244.0847999999996"/>
    <d v="2022-06-24T00:00:00"/>
    <s v="Pago"/>
    <x v="38"/>
    <s v="3ª Tranche"/>
    <s v="1ª"/>
    <s v="PA"/>
    <s v="Liberações"/>
    <n v="224408480"/>
    <n v="224408.48"/>
    <n v="201967630"/>
    <n v="201967.63"/>
    <n v="0.89999999108768081"/>
    <s v="MLA"/>
    <n v="-5030960.41"/>
    <n v="-5030.9604100000006"/>
    <n v="-1.9770897643350074E-2"/>
    <s v="Encerrado "/>
    <s v="03ª"/>
    <s v="EQUATORIAL"/>
    <s v="ENBPar"/>
    <n v="-0.11977089764335005"/>
    <n v="-3993081.34"/>
    <n v="-3993.0813399999997"/>
    <n v="-24189844.339999996"/>
    <n v="-24189.844339999996"/>
    <n v="204007730"/>
    <n v="204007.73"/>
    <n v="0.90900000000000003"/>
    <n v="20400750"/>
    <n v="20400.75"/>
    <n v="9.0999999999999998E-2"/>
    <s v="-"/>
    <n v="0.9738"/>
  </r>
  <r>
    <d v="2022-06-01T00:00:00"/>
    <s v="EQUATORIAL"/>
    <s v="EQUATORIAL PARÁ"/>
    <s v="EQUATORIAL PARA DISTRIBUIDORA DE ENERGIA S.A."/>
    <s v="04.895.728/0001-80"/>
    <s v="Mais Luz para Amazônia"/>
    <d v="2022-06-01T00:00:00"/>
    <n v="58346204.200000003"/>
    <n v="58346204.200000003"/>
    <n v="58346.2042"/>
    <d v="2022-06-24T00:00:00"/>
    <s v="Pago"/>
    <x v="38"/>
    <s v="3ª Tranche"/>
    <s v="1ª"/>
    <s v="PA"/>
    <s v="Liberações"/>
    <n v="0"/>
    <n v="0"/>
    <n v="0"/>
    <n v="0"/>
    <n v="0"/>
    <s v="MLA"/>
    <n v="0"/>
    <n v="0"/>
    <n v="0"/>
    <s v="Encerrado "/>
    <s v="03ª"/>
    <s v="EQUATORIAL"/>
    <s v="ENBPar"/>
    <n v="0"/>
    <n v="0"/>
    <n v="0"/>
    <n v="0"/>
    <n v="0"/>
    <n v="0"/>
    <n v="0"/>
    <n v="0"/>
    <n v="0"/>
    <n v="0"/>
    <n v="0"/>
    <s v="-"/>
    <n v="0"/>
  </r>
  <r>
    <d v="2023-05-01T00:00:00"/>
    <s v="EQUATORIAL"/>
    <s v="EQUATORIAL PARÁ"/>
    <s v="EQUATORIAL PARA DISTRIBUIDORA DE ENERGIA S.A."/>
    <s v="04.895.728/0001-80"/>
    <s v="Mais Luz para Amazônia"/>
    <d v="2023-05-01T00:00:00"/>
    <n v="35344335.25"/>
    <n v="35344335.25"/>
    <n v="35344.335249999996"/>
    <d v="2023-05-15T00:00:00"/>
    <s v="Pago"/>
    <x v="38"/>
    <s v="3ª Tranche"/>
    <s v="2ª"/>
    <s v="PA"/>
    <s v="Liberações"/>
    <n v="0"/>
    <n v="0"/>
    <n v="0"/>
    <n v="0"/>
    <n v="0"/>
    <s v="MLA"/>
    <n v="0"/>
    <n v="0"/>
    <n v="0"/>
    <s v="Encerrado "/>
    <s v="03ª"/>
    <s v="EQUATORIAL"/>
    <s v="ENBPar"/>
    <n v="0"/>
    <n v="0"/>
    <n v="0"/>
    <n v="0"/>
    <n v="0"/>
    <n v="0"/>
    <n v="0"/>
    <n v="0"/>
    <n v="0"/>
    <n v="0"/>
    <n v="0"/>
    <s v="-"/>
    <n v="0"/>
  </r>
  <r>
    <d v="2023-05-01T00:00:00"/>
    <s v="EQUATORIAL"/>
    <s v="EQUATORIAL PARÁ"/>
    <s v="EQUATORIAL PARA DISTRIBUIDORA DE ENERGIA S.A."/>
    <s v="04.895.728/0001-80"/>
    <s v="Mais Luz para Amazônia"/>
    <d v="2023-05-01T00:00:00"/>
    <n v="35344335.25"/>
    <n v="35344335.25"/>
    <n v="35344.335249999996"/>
    <d v="2023-05-15T00:00:00"/>
    <s v="Pago"/>
    <x v="38"/>
    <s v="3ª Tranche"/>
    <s v="3ª"/>
    <s v="PA"/>
    <s v="Liberações"/>
    <n v="0"/>
    <n v="0"/>
    <n v="0"/>
    <n v="0"/>
    <n v="0"/>
    <s v="MLA"/>
    <n v="0"/>
    <n v="0"/>
    <n v="0"/>
    <s v="Encerrado "/>
    <s v="03ª"/>
    <s v="EQUATORIAL"/>
    <s v="ENBPar"/>
    <n v="0"/>
    <n v="0"/>
    <n v="0"/>
    <n v="0"/>
    <n v="0"/>
    <n v="0"/>
    <n v="0"/>
    <n v="0"/>
    <n v="0"/>
    <n v="0"/>
    <n v="0"/>
    <s v="-"/>
    <n v="0"/>
  </r>
  <r>
    <d v="2023-10-01T00:00:00"/>
    <s v="EQUATORIAL"/>
    <s v="EQUATORIAL PARÁ"/>
    <s v="EQUATORIAL PARA DISTRIBUIDORA DE ENERGIA S.A."/>
    <s v="04.895.728/0001-80"/>
    <s v="Mais Luz para Amazônia"/>
    <d v="2023-10-02T00:00:00"/>
    <n v="30295144.5"/>
    <n v="30295144.5"/>
    <n v="30295.144499999999"/>
    <d v="2023-10-27T00:00:00"/>
    <s v="Pago"/>
    <x v="38"/>
    <s v="3ª Tranche"/>
    <s v="4ª"/>
    <s v="PA"/>
    <s v="Liberações"/>
    <n v="0"/>
    <n v="0"/>
    <n v="0"/>
    <n v="0"/>
    <n v="0"/>
    <s v="MLA"/>
    <n v="0"/>
    <n v="0"/>
    <n v="0"/>
    <s v="Encerrado "/>
    <s v="03ª"/>
    <s v="EQUATORIAL"/>
    <s v="ENBPar"/>
    <n v="0"/>
    <n v="0"/>
    <n v="0"/>
    <n v="0"/>
    <n v="0"/>
    <n v="0"/>
    <n v="0"/>
    <n v="0"/>
    <n v="0"/>
    <n v="0"/>
    <n v="0"/>
    <s v="-"/>
    <n v="0"/>
  </r>
  <r>
    <d v="2023-10-01T00:00:00"/>
    <s v="EQUATORIAL"/>
    <s v="EQUATORIAL PARÁ"/>
    <s v="EQUATORIAL PARA DISTRIBUIDORA DE ENERGIA S.A."/>
    <s v="04.895.728/0001-80"/>
    <s v="Mais Luz para Amazônia"/>
    <d v="2023-10-02T00:00:00"/>
    <n v="20196763"/>
    <n v="20196763"/>
    <n v="20196.762999999999"/>
    <d v="2023-10-27T00:00:00"/>
    <s v="Pago"/>
    <x v="38"/>
    <s v="3ª Tranche"/>
    <s v="5ª"/>
    <s v="PA"/>
    <s v="Liberações"/>
    <n v="0"/>
    <n v="0"/>
    <n v="0"/>
    <n v="0"/>
    <n v="0"/>
    <s v="MLA"/>
    <n v="0"/>
    <n v="0"/>
    <n v="0"/>
    <s v="Encerrado "/>
    <s v="03ª"/>
    <s v="EQUATORIAL"/>
    <s v="ENBPar"/>
    <n v="0"/>
    <n v="0"/>
    <n v="0"/>
    <n v="0"/>
    <n v="0"/>
    <n v="0"/>
    <n v="0"/>
    <n v="0"/>
    <n v="0"/>
    <n v="0"/>
    <n v="0"/>
    <s v="-"/>
    <n v="0"/>
  </r>
  <r>
    <d v="2023-04-01T00:00:00"/>
    <s v="EQUATORIAL"/>
    <s v="EQUATORIAL AMAPÁ"/>
    <s v="COMPANHIA DE ELETRICIDADE DO AMAPA CEA"/>
    <s v="05.965.546/0001-09"/>
    <s v="Mais Luz para Amazônia"/>
    <d v="2023-04-01T00:00:00"/>
    <n v="26608758.300000001"/>
    <n v="26608758.300000001"/>
    <n v="26608.758300000001"/>
    <d v="2023-04-14T00:00:00"/>
    <s v="Pago"/>
    <x v="39"/>
    <s v="1ª Tranche"/>
    <s v="1ª"/>
    <s v="AP"/>
    <s v="Liberações"/>
    <n v="102341370"/>
    <n v="102341.37"/>
    <n v="92107240"/>
    <n v="92107.24"/>
    <n v="0.90000006839853719"/>
    <s v="MLA"/>
    <n v="-19081341.760000002"/>
    <n v="-19081.341760000003"/>
    <n v="-0.20716440705421205"/>
    <s v="Encerrado"/>
    <s v="01ª"/>
    <s v="EQUATORIAL"/>
    <s v="ENBPar"/>
    <n v="-0.307164407054212"/>
    <n v="-19081341.760000002"/>
    <n v="-19081.341760000003"/>
    <n v="-28292065.759999998"/>
    <n v="-28292.065759999998"/>
    <n v="93037610"/>
    <n v="93037.61"/>
    <n v="0.90900000000000003"/>
    <n v="9303760"/>
    <n v="9303.76"/>
    <n v="0.91"/>
    <s v="-"/>
    <n v="1"/>
  </r>
  <r>
    <d v="2023-12-01T00:00:00"/>
    <s v="EQUATORIAL"/>
    <s v="EQUATORIAL AMAPÁ"/>
    <s v="COMPANHIA DE ELETRICIDADE DO AMAPA CEA"/>
    <s v="05.965.546/0001-09"/>
    <s v="Mais Luz para Amazônia"/>
    <d v="2023-12-01T00:00:00"/>
    <n v="18421448"/>
    <n v="18421448"/>
    <n v="18421.448"/>
    <d v="2023-12-14T00:00:00"/>
    <s v="Pago"/>
    <x v="39"/>
    <s v="1ª Tranche"/>
    <s v="2ª"/>
    <s v="AP"/>
    <s v="Liberações"/>
    <n v="0"/>
    <n v="0"/>
    <n v="0"/>
    <n v="0"/>
    <n v="0"/>
    <s v="MLA"/>
    <n v="0"/>
    <n v="0"/>
    <n v="0"/>
    <s v="Encerrad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23-04-01T00:00:00"/>
    <s v="EQUATORIAL"/>
    <s v="EQUATORIAL AMAPÁ"/>
    <s v="CENTRAIS ELETRICAS BRASILEIRAS SA ELETROBRAS"/>
    <s v="00.001.180/0002-07"/>
    <s v="Mais Luz para Amazônia"/>
    <d v="2023-04-01T00:00:00"/>
    <n v="1023413.7"/>
    <n v="1023413.7"/>
    <n v="1023.4136999999999"/>
    <d v="2023-04-14T00:00:00"/>
    <s v="Pago"/>
    <x v="39"/>
    <s v="1ª Tranche"/>
    <s v="1ª"/>
    <s v="AP"/>
    <s v="Liberações"/>
    <n v="0"/>
    <n v="0"/>
    <n v="0"/>
    <n v="0"/>
    <n v="0"/>
    <s v="MLA"/>
    <n v="0"/>
    <n v="0"/>
    <n v="0"/>
    <s v="Encerrad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24-02-01T00:00:00"/>
    <s v="EQUATORIAL"/>
    <s v="EQUATORIAL AMAPÁ"/>
    <s v="COMPANHIA DE ELETRICIDADE DO AMAPA CEA"/>
    <s v="05.965.546/0001-09"/>
    <s v="Mais Luz para Amazônia"/>
    <d v="2024-02-01T00:00:00"/>
    <n v="13816086"/>
    <n v="13816086"/>
    <n v="13816.085999999999"/>
    <d v="2024-02-09T00:00:00"/>
    <s v="Pago"/>
    <x v="39"/>
    <s v="1ª Tranche"/>
    <s v="3ª"/>
    <s v="AP"/>
    <s v="Liberações"/>
    <n v="0"/>
    <n v="0"/>
    <n v="0"/>
    <n v="0"/>
    <n v="0"/>
    <s v="MLA"/>
    <n v="0"/>
    <n v="0"/>
    <n v="0"/>
    <s v="Encerrad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24-03-01T00:00:00"/>
    <s v="EQUATORIAL"/>
    <s v="EQUATORIAL AMAPÁ"/>
    <s v="COMPANHIA DE ELETRICIDADE DO AMAPA CEA"/>
    <s v="05.965.546/0001-09"/>
    <s v="Mais Luz para Amazônia"/>
    <d v="2024-03-01T00:00:00"/>
    <n v="13816086"/>
    <n v="13816086"/>
    <n v="13816.085999999999"/>
    <d v="2024-03-28T00:00:00"/>
    <s v="Pago"/>
    <x v="39"/>
    <s v="1ª Tranche"/>
    <s v="4ª"/>
    <s v="AP"/>
    <s v="Liberações"/>
    <n v="0"/>
    <n v="0"/>
    <n v="0"/>
    <n v="0"/>
    <n v="0"/>
    <s v="MLA"/>
    <n v="0"/>
    <n v="0"/>
    <n v="0"/>
    <s v="Encerrad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24-05-01T00:00:00"/>
    <s v="EQUATORIAL"/>
    <s v="EQUATORIAL AMAPÁ"/>
    <s v="COMPANHIA DE ELETRICIDADE DO AMAPA CEA"/>
    <s v="05.965.546/0001-09"/>
    <s v="Mais Luz para Amazônia"/>
    <d v="2024-05-01T00:00:00"/>
    <n v="9210724"/>
    <n v="9210724"/>
    <n v="9210.7240000000002"/>
    <d v="2024-05-09T00:00:00"/>
    <s v="Pago"/>
    <x v="39"/>
    <s v="1ª Tranche"/>
    <s v="5ª"/>
    <s v="AP"/>
    <s v="Liberações"/>
    <n v="0"/>
    <n v="0"/>
    <n v="0"/>
    <n v="0"/>
    <n v="0"/>
    <s v="MLA"/>
    <n v="0"/>
    <n v="0"/>
    <n v="0"/>
    <s v="Encerrad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23-04-01T00:00:00"/>
    <s v="EQUATORIAL"/>
    <s v="EQUATORIAL PARÁ"/>
    <s v="CENTRAIS ELETRICAS BRASILEIRAS SA ELETROBRAS"/>
    <s v="00.001.180/0002-07"/>
    <s v="Mais Luz para Amazônia"/>
    <d v="2023-04-01T00:00:00"/>
    <n v="8340639.5999999996"/>
    <n v="8340639.5999999996"/>
    <n v="8340.6396000000004"/>
    <d v="2023-04-14T00:00:00"/>
    <s v="Pago"/>
    <x v="40"/>
    <s v="4ª Tranche"/>
    <s v="1ª"/>
    <s v="PA"/>
    <s v="Liberações"/>
    <n v="834063960"/>
    <n v="834063.96"/>
    <n v="750657560"/>
    <n v="750657.56"/>
    <n v="0.89999999520420471"/>
    <s v="MLA"/>
    <n v="-57486837.799999997"/>
    <n v="-57486.837799999994"/>
    <n v="-7.6581974076168624E-2"/>
    <s v="Encerramento"/>
    <s v="04ª"/>
    <s v="EQUATORIAL"/>
    <s v="ENBPar"/>
    <n v="-0.1765819740761686"/>
    <n v="-57486837.799999997"/>
    <n v="-57486.837799999994"/>
    <n v="-132552593.79999998"/>
    <n v="-132552.59379999997"/>
    <n v="758240140"/>
    <n v="758240.14"/>
    <n v="0.90900000000000003"/>
    <n v="75823820"/>
    <n v="75823.820000000007"/>
    <n v="0.91"/>
    <s v="Aguardando a IF "/>
    <n v="0.99739999999999995"/>
  </r>
  <r>
    <d v="2023-04-01T00:00:00"/>
    <s v="EQUATORIAL"/>
    <s v="EQUATORIAL PARÁ"/>
    <s v="EQUATORIAL PARA DISTRIBUIDORA DE ENERGIA S.A."/>
    <s v="04.895.728/0001-80"/>
    <s v="Mais Luz para Amazônia"/>
    <d v="2023-04-01T00:00:00"/>
    <n v="216856628.40000001"/>
    <n v="216856628.40000001"/>
    <n v="216856.62840000002"/>
    <d v="2023-04-14T00:00:00"/>
    <s v="Pago"/>
    <x v="40"/>
    <s v="4ª Tranche"/>
    <s v="1ª"/>
    <s v="PA"/>
    <s v="Liberações"/>
    <n v="0"/>
    <n v="0"/>
    <n v="0"/>
    <n v="0"/>
    <n v="0"/>
    <s v="MLA"/>
    <n v="0"/>
    <n v="0"/>
    <n v="0"/>
    <s v="Encerramento"/>
    <s v="04ª"/>
    <s v="EQUATORIAL"/>
    <s v="ENBPar"/>
    <n v="0"/>
    <n v="0"/>
    <n v="0"/>
    <n v="0"/>
    <n v="0"/>
    <n v="0"/>
    <n v="0"/>
    <n v="0"/>
    <n v="0"/>
    <n v="0"/>
    <n v="0"/>
    <s v="-"/>
    <n v="0"/>
  </r>
  <r>
    <d v="2023-11-01T00:00:00"/>
    <s v="EQUATORIAL"/>
    <s v="EQUATORIAL PARÁ"/>
    <s v="EQUATORIAL PARA DISTRIBUIDORA DE ENERGIA S.A."/>
    <s v="04.895.728/0001-80"/>
    <s v="Mais Luz para Amazônia"/>
    <d v="2023-11-29T00:00:00"/>
    <n v="150131512"/>
    <n v="150131512"/>
    <n v="150131.51199999999"/>
    <d v="2023-11-24T00:00:00"/>
    <s v="Pago"/>
    <x v="40"/>
    <s v="4ª Tranche"/>
    <s v="2ª"/>
    <s v="PA"/>
    <s v="Liberações"/>
    <n v="0"/>
    <n v="0"/>
    <n v="0"/>
    <n v="0"/>
    <n v="0"/>
    <s v="MLA"/>
    <n v="0"/>
    <n v="0"/>
    <n v="0"/>
    <s v="Encerramento"/>
    <s v="04ª"/>
    <s v="EQUATORIAL"/>
    <s v="ENBPar"/>
    <n v="0"/>
    <n v="0"/>
    <n v="0"/>
    <n v="0"/>
    <n v="0"/>
    <n v="0"/>
    <n v="0"/>
    <n v="0"/>
    <n v="0"/>
    <n v="0"/>
    <n v="0"/>
    <s v="-"/>
    <n v="0"/>
  </r>
  <r>
    <d v="2024-01-01T00:00:00"/>
    <s v="EQUATORIAL"/>
    <s v="EQUATORIAL PARÁ"/>
    <s v="EQUATORIAL PARA DISTRIBUIDORA DE ENERGIA S.A."/>
    <s v="04.895.728/0001-80"/>
    <s v="Mais Luz para Amazônia"/>
    <d v="2023-12-02T00:00:00"/>
    <n v="112598634"/>
    <n v="112598634"/>
    <n v="112598.63400000001"/>
    <d v="2024-01-05T00:00:00"/>
    <s v="Pago"/>
    <x v="40"/>
    <s v="4ª Tranche"/>
    <s v="3ª"/>
    <s v="PA"/>
    <s v="Liberações"/>
    <n v="0"/>
    <n v="0"/>
    <n v="0"/>
    <n v="0"/>
    <n v="0"/>
    <s v="MLA"/>
    <n v="0"/>
    <n v="0"/>
    <n v="0"/>
    <s v="Encerramento"/>
    <s v="04ª"/>
    <s v="EQUATORIAL"/>
    <s v="ENBPar"/>
    <n v="0"/>
    <n v="0"/>
    <n v="0"/>
    <n v="0"/>
    <n v="0"/>
    <n v="0"/>
    <n v="0"/>
    <n v="0"/>
    <n v="0"/>
    <n v="0"/>
    <n v="0"/>
    <s v="-"/>
    <n v="0"/>
  </r>
  <r>
    <d v="2024-04-01T00:00:00"/>
    <s v="EQUATORIAL"/>
    <s v="EQUATORIAL PARÁ"/>
    <s v="EQUATORIAL PARA DISTRIBUIDORA DE ENERGIA S.A."/>
    <s v="04.895.728/0001-80"/>
    <s v="Mais Luz para Amazônia"/>
    <d v="2024-04-01T00:00:00"/>
    <n v="112598634"/>
    <n v="112598634"/>
    <n v="112598.63400000001"/>
    <d v="2024-04-30T00:00:00"/>
    <s v="Pago"/>
    <x v="40"/>
    <s v="4ª Tranche"/>
    <s v="4ª"/>
    <s v="PA"/>
    <s v="Liberações"/>
    <n v="0"/>
    <n v="0"/>
    <n v="0"/>
    <n v="0"/>
    <n v="0"/>
    <s v="MLA"/>
    <n v="0"/>
    <n v="0"/>
    <n v="0"/>
    <s v="Encerramento"/>
    <s v="04ª"/>
    <s v="EQUATORIAL"/>
    <s v="ENBPar"/>
    <n v="0"/>
    <n v="0"/>
    <n v="0"/>
    <n v="0"/>
    <n v="0"/>
    <n v="0"/>
    <n v="0"/>
    <n v="0"/>
    <n v="0"/>
    <n v="0"/>
    <n v="0"/>
    <s v="-"/>
    <n v="0"/>
  </r>
  <r>
    <d v="2024-08-01T00:00:00"/>
    <s v="EQUATORIAL"/>
    <s v="EQUATORIAL PARÁ"/>
    <s v="EQUATORIAL PARA DISTRIBUIDORA DE ENERGIA S.A."/>
    <s v="04.895.728/0001-80"/>
    <s v="Mais Luz para Amazônia"/>
    <d v="2024-08-01T00:00:00"/>
    <n v="75065756"/>
    <n v="75065756"/>
    <n v="75065.755999999994"/>
    <d v="2024-08-30T00:00:00"/>
    <s v="Pago"/>
    <x v="40"/>
    <s v="4ª Tranche"/>
    <s v="5ª"/>
    <s v="PA"/>
    <s v="Liberações"/>
    <n v="0"/>
    <n v="0"/>
    <n v="0"/>
    <n v="0"/>
    <n v="0"/>
    <s v="MLA"/>
    <n v="0"/>
    <n v="0"/>
    <n v="0"/>
    <s v="Encerramento"/>
    <s v="04ª"/>
    <s v="EQUATORIAL"/>
    <s v="ENBPar"/>
    <n v="0"/>
    <n v="0"/>
    <n v="0"/>
    <n v="0"/>
    <n v="0"/>
    <n v="0"/>
    <n v="0"/>
    <n v="0"/>
    <n v="0"/>
    <n v="0"/>
    <n v="0"/>
    <s v="-"/>
    <n v="0"/>
  </r>
  <r>
    <d v="2024-04-01T00:00:00"/>
    <s v="EQUATORIAL"/>
    <s v="EQUATORIAL PARÁ"/>
    <s v="CENTRAIS ELETRICAS BRASILEIRAS SA ELETROBRAS"/>
    <s v="00.001.180/0002-07"/>
    <s v="Programa Luz para Todos"/>
    <d v="2024-04-01T00:00:00"/>
    <n v="12515883.5"/>
    <n v="12515883.5"/>
    <n v="12515.8835"/>
    <d v="2024-04-11T00:00:00"/>
    <s v="Pago"/>
    <x v="41"/>
    <s v="5ª Tranche"/>
    <s v="1ª"/>
    <s v="PA"/>
    <s v="Liberações"/>
    <n v="1251588350"/>
    <n v="1251588.3500000001"/>
    <n v="1126429510"/>
    <n v="1126429.51"/>
    <n v="0.8999999960050763"/>
    <s v="MLA"/>
    <n v="0"/>
    <n v="0"/>
    <n v="0"/>
    <s v="Andamento"/>
    <s v="05ª"/>
    <s v="EQUATORIAL"/>
    <s v="ENBPar"/>
    <n v="0"/>
    <n v="0"/>
    <n v="0"/>
    <n v="0"/>
    <n v="0"/>
    <n v="1137807370"/>
    <n v="1137807.3700000001"/>
    <n v="0.90900000000000003"/>
    <n v="113780980"/>
    <n v="113780.98"/>
    <n v="9.0999999999999998E-2"/>
    <s v="-"/>
    <n v="0.80669999999999997"/>
  </r>
  <r>
    <d v="2024-04-01T00:00:00"/>
    <s v="EQUATORIAL"/>
    <s v="EQUATORIAL PARÁ"/>
    <s v="EQUATORIAL PARA DISTRIBUIDORA DE ENERGIA S.A."/>
    <s v="04.895.728/0001-80"/>
    <s v="Programa Luz para Todos"/>
    <d v="2024-04-01T00:00:00"/>
    <n v="325412969.5"/>
    <n v="325412969.5"/>
    <n v="325412.96950000001"/>
    <d v="2024-04-11T00:00:00"/>
    <s v="Pago"/>
    <x v="41"/>
    <s v="5ª Tranche"/>
    <s v="1ª"/>
    <s v="PA"/>
    <s v="Liberações"/>
    <n v="0"/>
    <n v="0"/>
    <n v="0"/>
    <n v="0"/>
    <n v="0"/>
    <s v="MLA"/>
    <n v="0"/>
    <n v="0"/>
    <n v="0"/>
    <s v="Andamento"/>
    <s v="05ª"/>
    <s v="EQUATORIAL"/>
    <s v="ENBPar"/>
    <n v="0"/>
    <n v="0"/>
    <n v="0"/>
    <n v="0"/>
    <n v="0"/>
    <n v="0"/>
    <n v="0"/>
    <n v="0"/>
    <n v="0"/>
    <n v="0"/>
    <n v="0"/>
    <s v="-"/>
    <n v="0"/>
  </r>
  <r>
    <d v="2024-11-01T00:00:00"/>
    <s v="EQUATORIAL"/>
    <s v="EQUATORIAL PARÁ"/>
    <s v="EQUATORIAL PARA DISTRIBUIDORA DE ENERGIA S.A."/>
    <s v="04.895.728/0001-80"/>
    <s v="Mais Luz para Amazônia"/>
    <d v="2024-11-01T00:00:00"/>
    <n v="225285902"/>
    <n v="225285902"/>
    <n v="225285.902"/>
    <d v="2024-11-22T00:00:00"/>
    <s v="Pago"/>
    <x v="41"/>
    <s v="5ª Tranche"/>
    <s v="2ª"/>
    <s v="PA"/>
    <s v="Liberações"/>
    <n v="0"/>
    <n v="0"/>
    <n v="0"/>
    <n v="0"/>
    <n v="0"/>
    <s v="MLA"/>
    <n v="0"/>
    <n v="0"/>
    <n v="0"/>
    <s v="Andamento"/>
    <s v="05ª"/>
    <s v="EQUATORIAL"/>
    <s v="ENBPar"/>
    <n v="0"/>
    <n v="0"/>
    <n v="0"/>
    <n v="0"/>
    <n v="0"/>
    <n v="0"/>
    <n v="0"/>
    <n v="0"/>
    <n v="0"/>
    <n v="0"/>
    <n v="0"/>
    <s v="-"/>
    <n v="0"/>
  </r>
  <r>
    <d v="2025-07-01T00:00:00"/>
    <s v="EQUATORIAL"/>
    <s v="EQUATORIAL PARÁ"/>
    <s v="EQUATORIAL PARA DISTRIBUIDORA DE ENERGIA S.A."/>
    <s v="04.895.728/0001-80"/>
    <s v="Mais Luz para Amazônia"/>
    <d v="2025-07-26T00:00:00"/>
    <n v="168964426.5"/>
    <n v="168964426.5"/>
    <n v="168964.4265"/>
    <d v="2025-07-11T00:00:00"/>
    <s v="Pago"/>
    <x v="41"/>
    <s v="5ª Tranche"/>
    <s v="2ª"/>
    <s v="PA"/>
    <s v="Liberações"/>
    <n v="0"/>
    <n v="0"/>
    <n v="0"/>
    <n v="0"/>
    <n v="0"/>
    <s v="MLA"/>
    <n v="0"/>
    <n v="0"/>
    <n v="0"/>
    <s v="Andamento"/>
    <s v="05ª"/>
    <s v="EQUATORIAL"/>
    <s v="ENBPar"/>
    <n v="0"/>
    <n v="0"/>
    <n v="0"/>
    <n v="0"/>
    <n v="0"/>
    <n v="0"/>
    <n v="0"/>
    <n v="0"/>
    <n v="0"/>
    <n v="0"/>
    <n v="0"/>
    <s v="-"/>
    <n v="0"/>
  </r>
  <r>
    <d v="2025-12-01T00:00:00"/>
    <s v="EQUATORIAL"/>
    <s v="EQUATORIAL PARÁ"/>
    <s v="EQUATORIAL PARA DISTRIBUIDORA DE ENERGIA S.A."/>
    <s v="04.895.728/0001-80"/>
    <s v="Programa Luz para Todos"/>
    <d v="2025-12-01T00:00:00"/>
    <n v="168964426.5"/>
    <n v="168964426.5"/>
    <n v="168964.4265"/>
    <d v="2025-12-11T00:00:00"/>
    <s v="Pago"/>
    <x v="41"/>
    <s v="5ª Tranche"/>
    <s v="4ª"/>
    <s v="PA"/>
    <s v="Liberações"/>
    <n v="0"/>
    <n v="0"/>
    <n v="0"/>
    <n v="0"/>
    <n v="0"/>
    <s v="MLA"/>
    <n v="0"/>
    <n v="0"/>
    <n v="0"/>
    <s v="Andamento"/>
    <s v="05ª"/>
    <s v="EQUATORIAL"/>
    <s v="ENBPar"/>
    <n v="0"/>
    <n v="0"/>
    <n v="0"/>
    <n v="0"/>
    <n v="0"/>
    <n v="0"/>
    <n v="0"/>
    <n v="0"/>
    <n v="0"/>
    <n v="0"/>
    <n v="0"/>
    <s v="-"/>
    <n v="0"/>
  </r>
  <r>
    <d v="2024-05-01T00:00:00"/>
    <s v="ENERGISA"/>
    <s v="ENERGISA RO"/>
    <s v="CENTRAIS ELETRICAS BRASILEIRAS SA ELETROBRAS"/>
    <s v="00.001.180/0002-07"/>
    <s v="Programa Luz para Todos"/>
    <d v="2024-04-01T00:00:00"/>
    <n v="382444.2"/>
    <n v="382444.2"/>
    <n v="382.44420000000002"/>
    <d v="2024-05-09T00:00:00"/>
    <s v="Pago"/>
    <x v="42"/>
    <s v="2ª Tranche"/>
    <s v="1ª"/>
    <s v="RO"/>
    <s v="Liberações"/>
    <n v="38244420"/>
    <n v="38244.42"/>
    <n v="34419980"/>
    <n v="34419.980000000003"/>
    <n v="0.90000005229521063"/>
    <s v="MLA"/>
    <n v="0"/>
    <n v="0"/>
    <n v="1E-4"/>
    <s v="Encerrado"/>
    <s v="02ª"/>
    <s v="ENERGISA"/>
    <s v="ENBPar"/>
    <n v="1E-4"/>
    <n v="0"/>
    <n v="0"/>
    <n v="3408288.44"/>
    <n v="3408.2884399999998"/>
    <n v="34420310"/>
    <n v="34420.31"/>
    <n v="0.9"/>
    <n v="3824110"/>
    <n v="3824.11"/>
    <n v="0.1"/>
    <s v="-"/>
    <n v="1"/>
  </r>
  <r>
    <d v="2024-05-01T00:00:00"/>
    <s v="ENERGISA"/>
    <s v="ENERGISA RO"/>
    <s v="ENERGISA RONDONIA - DISTRIBUIDORA DE ENERGIA S.A"/>
    <s v="05.914.650/0001-66"/>
    <s v="Programa Luz para Todos"/>
    <d v="2024-04-01T00:00:00"/>
    <n v="9943549.8000000007"/>
    <n v="9943549.8000000007"/>
    <n v="9943.5498000000007"/>
    <d v="2024-05-09T00:00:00"/>
    <s v="Pago"/>
    <x v="42"/>
    <s v="2ª Tranche"/>
    <s v="1ª"/>
    <s v="RO"/>
    <s v="Liberações"/>
    <n v="0"/>
    <n v="0"/>
    <n v="0"/>
    <n v="0"/>
    <n v="0"/>
    <s v="MLA"/>
    <n v="0"/>
    <n v="0"/>
    <n v="0"/>
    <s v="Encerrad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4-08-01T00:00:00"/>
    <s v="ENERGISA"/>
    <s v="ENERGISA RO"/>
    <s v="ENERGISA RONDONIA - DISTRIBUIDORA DE ENERGIA S.A"/>
    <s v="05.914.650/0001-66"/>
    <s v="Mais Luz para Amazônia"/>
    <d v="2024-08-01T00:00:00"/>
    <n v="6883996"/>
    <n v="6883996"/>
    <n v="6883.9960000000001"/>
    <d v="2024-08-30T00:00:00"/>
    <s v="Pago"/>
    <x v="42"/>
    <s v="2ª Tranche"/>
    <s v="2ª"/>
    <s v="RO"/>
    <s v="Liberações"/>
    <n v="0"/>
    <n v="0"/>
    <n v="0"/>
    <n v="0"/>
    <n v="0"/>
    <s v="MLA"/>
    <n v="0"/>
    <n v="0"/>
    <n v="0"/>
    <s v="Encerrad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4-08-01T00:00:00"/>
    <s v="ENERGISA"/>
    <s v="ENERGISA RO"/>
    <s v="ENERGISA RONDONIA - DISTRIBUIDORA DE ENERGIA S.A"/>
    <s v="05.914.650/0001-66"/>
    <s v="Mais Luz para Amazônia"/>
    <d v="2024-08-01T00:00:00"/>
    <n v="5162997"/>
    <n v="5162997"/>
    <n v="5162.9970000000003"/>
    <d v="2024-08-30T00:00:00"/>
    <s v="Pago"/>
    <x v="42"/>
    <s v="2ª Tranche"/>
    <s v="3ª"/>
    <s v="RO"/>
    <s v="Liberações"/>
    <n v="0"/>
    <n v="0"/>
    <n v="0"/>
    <n v="0"/>
    <n v="0"/>
    <s v="MLA"/>
    <n v="0"/>
    <n v="0"/>
    <n v="0"/>
    <s v="Encerrad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4-08-01T00:00:00"/>
    <s v="ENERGISA"/>
    <s v="ENERGISA RO"/>
    <s v="ENERGISA RONDONIA - DISTRIBUIDORA DE ENERGIA S.A"/>
    <s v="05.914.650/0001-66"/>
    <s v="Mais Luz para Amazônia"/>
    <d v="2024-08-01T00:00:00"/>
    <n v="5162997"/>
    <n v="5162997"/>
    <n v="5162.9970000000003"/>
    <d v="2024-08-30T00:00:00"/>
    <s v="Pago"/>
    <x v="42"/>
    <s v="2ª Tranche"/>
    <s v="4ª"/>
    <s v="RO"/>
    <s v="Liberações"/>
    <n v="0"/>
    <n v="0"/>
    <n v="0"/>
    <n v="0"/>
    <n v="0"/>
    <s v="MLA"/>
    <n v="0"/>
    <n v="0"/>
    <n v="0"/>
    <s v="Encerrad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4-08-01T00:00:00"/>
    <s v="ENERGISA"/>
    <s v="ENERGISA RO"/>
    <s v="ENERGISA RONDONIA - DISTRIBUIDORA DE ENERGIA S.A"/>
    <s v="05.914.650/0001-66"/>
    <s v="Mais Luz para Amazônia"/>
    <d v="2024-08-01T00:00:00"/>
    <n v="3441998"/>
    <n v="3441998"/>
    <n v="3441.998"/>
    <d v="2024-08-30T00:00:00"/>
    <s v="Pago"/>
    <x v="42"/>
    <s v="2ª Tranche"/>
    <s v="5ª"/>
    <s v="RO"/>
    <s v="Liberações"/>
    <n v="0"/>
    <n v="0"/>
    <n v="0"/>
    <n v="0"/>
    <n v="0"/>
    <s v="MLA"/>
    <n v="0"/>
    <n v="0"/>
    <n v="0"/>
    <s v="Encerrad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3408288.44"/>
    <n v="3408288.44"/>
    <n v="3408.2884399999998"/>
    <d v="2025-12-19T00:00:00"/>
    <s v="Pago"/>
    <x v="42"/>
    <s v="2ª Tranche"/>
    <s v="parcela final"/>
    <s v="RO"/>
    <s v="Liberações"/>
    <n v="0"/>
    <n v="0"/>
    <n v="0"/>
    <n v="0"/>
    <n v="0"/>
    <s v="MLA"/>
    <n v="0"/>
    <n v="0"/>
    <n v="0"/>
    <s v="Encerrad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5-09-01T00:00:00"/>
    <s v="ENERGISA"/>
    <s v="ENERGISA TO"/>
    <s v="ENERGISA TOCANTINS DISTRIBUIDORA DE ENERGIA S.A."/>
    <s v="25.086.034/0001-71"/>
    <s v="Programa Luz para Todos"/>
    <d v="2025-09-01T00:00:00"/>
    <n v="4476550"/>
    <n v="4476550"/>
    <n v="4476.55"/>
    <d v="2025-09-12T00:00:00"/>
    <s v="Pago"/>
    <x v="43"/>
    <s v="2ª Tranche"/>
    <s v="1ª"/>
    <s v="TO"/>
    <s v="Liberações"/>
    <n v="17217480"/>
    <n v="17217.48"/>
    <n v="15495750"/>
    <n v="15495.75"/>
    <n v="0.90000104544915982"/>
    <s v="MLA"/>
    <n v="0"/>
    <n v="0"/>
    <n v="0"/>
    <s v="Andamento"/>
    <s v="02ª"/>
    <s v="ENERGISA"/>
    <s v="ENBPar"/>
    <n v="0"/>
    <n v="0"/>
    <n v="0"/>
    <n v="0"/>
    <n v="0"/>
    <n v="15495750"/>
    <n v="15495.75"/>
    <n v="0.9"/>
    <n v="1721730"/>
    <n v="1721.73"/>
    <n v="0.1"/>
    <s v="-"/>
    <n v="1"/>
  </r>
  <r>
    <d v="2025-09-01T00:00:00"/>
    <s v="ENERGISA"/>
    <s v="ENERGISA TO"/>
    <s v="EMPRESA BRASILEIRA DE PARTICIPACOES EM ENERGIA NUCLEAR E BINACIONAL S.A. - ENBPAR"/>
    <s v="43.913.162/0001-23"/>
    <s v="Programa Luz para Todos"/>
    <d v="2025-09-01T00:00:00"/>
    <n v="172174.8"/>
    <n v="172174.8"/>
    <n v="172.17479999999998"/>
    <d v="2025-09-12T00:00:00"/>
    <s v="Pago"/>
    <x v="43"/>
    <s v="2ª Tranche"/>
    <s v="1ª"/>
    <s v="TO"/>
    <s v="Liberações"/>
    <n v="0"/>
    <n v="0"/>
    <n v="0"/>
    <n v="0"/>
    <n v="0"/>
    <s v="MLA"/>
    <n v="0"/>
    <n v="0"/>
    <n v="0"/>
    <s v="Andament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5-10-01T00:00:00"/>
    <s v="ENERGISA"/>
    <s v="ENERGISA TO"/>
    <s v="ENERGISA TOCANTINS DISTRIBUIDORA DE ENERGIA S.A."/>
    <s v="25.086.034/0001-71"/>
    <s v="Programa Luz para Todos"/>
    <d v="2025-10-01T00:00:00"/>
    <n v="3099150"/>
    <n v="3099150"/>
    <n v="3099.15"/>
    <d v="2025-10-31T00:00:00"/>
    <s v="Pago"/>
    <x v="43"/>
    <s v="2ª Tranche"/>
    <s v="2ª"/>
    <s v="TO"/>
    <s v="Liberações"/>
    <n v="0"/>
    <n v="0"/>
    <n v="0"/>
    <n v="0"/>
    <n v="0"/>
    <s v="MLA"/>
    <n v="0"/>
    <n v="0"/>
    <n v="0"/>
    <s v="Andament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5-10-01T00:00:00"/>
    <s v="ENERGISA"/>
    <s v="ENERGISA TO"/>
    <s v="ENERGISA TOCANTINS DISTRIBUIDORA DE ENERGIA S.A."/>
    <s v="25.086.034/0001-71"/>
    <s v="Programa Luz para Todos"/>
    <d v="2025-10-01T00:00:00"/>
    <n v="1549575"/>
    <n v="1549575"/>
    <n v="1549.575"/>
    <d v="2025-10-31T00:00:00"/>
    <s v="Pago"/>
    <x v="43"/>
    <s v="2ª Tranche"/>
    <s v="3ª"/>
    <s v="TO"/>
    <s v="Liberações"/>
    <n v="0"/>
    <n v="0"/>
    <n v="0"/>
    <n v="0"/>
    <n v="0"/>
    <s v="MLA"/>
    <n v="0"/>
    <n v="0"/>
    <n v="0"/>
    <s v="Andament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5-10-01T00:00:00"/>
    <s v="ENERGISA"/>
    <s v="ENERGISA TO"/>
    <s v="ENERGISA TOCANTINS DISTRIBUIDORA DE ENERGIA S.A."/>
    <s v="25.086.034/0001-71"/>
    <s v="Programa Luz para Todos"/>
    <d v="2025-10-01T00:00:00"/>
    <n v="1549575"/>
    <n v="1549575"/>
    <n v="1549.575"/>
    <d v="2025-10-31T00:00:00"/>
    <s v="Pago"/>
    <x v="43"/>
    <s v="2ª Tranche"/>
    <s v="4ª"/>
    <s v="TO"/>
    <s v="Liberações"/>
    <n v="0"/>
    <n v="0"/>
    <n v="0"/>
    <n v="0"/>
    <n v="0"/>
    <s v="MLA"/>
    <n v="0"/>
    <n v="0"/>
    <n v="0"/>
    <s v="Andament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5-10-01T00:00:00"/>
    <s v="ENERGISA"/>
    <s v="ENERGISA TO"/>
    <s v="ENERGISA TOCANTINS DISTRIBUIDORA DE ENERGIA S.A."/>
    <s v="25.086.034/0001-71"/>
    <s v="Programa Luz para Todos"/>
    <d v="2025-10-01T00:00:00"/>
    <n v="1549575"/>
    <n v="1549575"/>
    <n v="1549.575"/>
    <d v="2025-10-31T00:00:00"/>
    <s v="Pago"/>
    <x v="43"/>
    <s v="2ª Tranche"/>
    <s v="5ª"/>
    <s v="TO"/>
    <s v="Liberações"/>
    <n v="0"/>
    <n v="0"/>
    <n v="0"/>
    <n v="0"/>
    <n v="0"/>
    <s v="MLA"/>
    <n v="0"/>
    <n v="0"/>
    <n v="0"/>
    <s v="Andament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5-12-01T00:00:00"/>
    <s v="ENERGISA"/>
    <s v="ENERGISA MT"/>
    <s v="ENERGISA MATO GROSSO - DISTRIBUIDORA DE ENERGIA S.A."/>
    <s v="03.467.321/0001-99"/>
    <s v="Programa Luz para Todos"/>
    <d v="2025-12-01T00:00:00"/>
    <n v="13062850.699999999"/>
    <n v="13062850.699999999"/>
    <n v="13062.850699999999"/>
    <d v="2025-12-19T00:00:00"/>
    <s v="Pago"/>
    <x v="44"/>
    <s v="2ª Tranche"/>
    <s v="1ª"/>
    <s v="MT"/>
    <s v="Liberações"/>
    <n v="50241730"/>
    <n v="50241.73"/>
    <n v="45217560"/>
    <n v="45217.56"/>
    <n v="0.90000005971131969"/>
    <s v="MLA"/>
    <n v="0"/>
    <n v="0"/>
    <n v="0"/>
    <s v="Andamento"/>
    <s v="02ª"/>
    <s v="ENERGISA"/>
    <s v="ENBPar"/>
    <n v="0"/>
    <n v="0"/>
    <n v="0"/>
    <n v="0"/>
    <n v="0"/>
    <n v="45215510"/>
    <n v="45215.51"/>
    <n v="0.9"/>
    <n v="5026220"/>
    <n v="5026.22"/>
    <n v="0.1"/>
    <s v="-"/>
    <n v="1"/>
  </r>
  <r>
    <d v="2025-12-01T00:00:00"/>
    <s v="ENERGISA"/>
    <s v="ENERGISA MT"/>
    <s v="EMPRESA BRASILEIRA DE PARTICIPACOES EM ENERGIA NUCLEAR E BINACIONAL S.A. - ENBPAR"/>
    <s v="43.913.162/0001-23"/>
    <s v="Programa Luz para Todos"/>
    <d v="2025-12-01T00:00:00"/>
    <n v="502417.3"/>
    <n v="502417.3"/>
    <n v="502.41730000000001"/>
    <d v="2025-12-19T00:00:00"/>
    <s v="Pago"/>
    <x v="44"/>
    <s v="2ª Tranche"/>
    <s v="1ª"/>
    <s v="MT"/>
    <s v="Liberações"/>
    <n v="0"/>
    <n v="0"/>
    <n v="0"/>
    <n v="0"/>
    <n v="0"/>
    <s v="MLA"/>
    <n v="0"/>
    <n v="0"/>
    <n v="0"/>
    <s v="Andament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5-08-01T00:00:00"/>
    <s v="ENERGISA"/>
    <s v="ENERGISA AC"/>
    <s v="ENERGISA ACRE - DISTRIBUIDORA DE ENERGIA S.A"/>
    <s v="04.065.033/0001-70"/>
    <s v="Programa Luz para Todos"/>
    <d v="2025-08-01T00:00:00"/>
    <n v="26836261.100000001"/>
    <n v="26836261.100000001"/>
    <n v="26836.2611"/>
    <d v="2025-08-08T00:00:00"/>
    <s v="Pago"/>
    <x v="45"/>
    <s v="2ª Tranche"/>
    <s v="1ª"/>
    <s v="AC"/>
    <s v="Liberações"/>
    <n v="103216390"/>
    <n v="103216.39"/>
    <n v="92894750"/>
    <n v="92894.75"/>
    <n v="0.89999999031161626"/>
    <s v="MLA"/>
    <n v="0"/>
    <n v="0"/>
    <n v="0"/>
    <s v="Andamento"/>
    <s v="02ª"/>
    <s v="ENERGISA"/>
    <s v="ENBPar"/>
    <n v="0"/>
    <n v="0"/>
    <n v="0"/>
    <n v="0"/>
    <n v="0"/>
    <n v="93360080"/>
    <n v="93360.08"/>
    <n v="0.90449999999999997"/>
    <n v="9856310"/>
    <n v="9856.31"/>
    <n v="9.5500000000000002E-2"/>
    <s v="-"/>
    <n v="0.99990000000000001"/>
  </r>
  <r>
    <d v="2025-08-01T00:00:00"/>
    <s v="ENERGISA"/>
    <s v="ENERGISA AC"/>
    <s v="EMPRESA BRASILEIRA DE PARTICIPACOES EM ENERGIA NUCLEAR E BINACIONAL S.A. - ENBPAR"/>
    <s v="43.913.162/0001-23"/>
    <s v="Programa Luz para Todos"/>
    <d v="2025-08-01T00:00:00"/>
    <n v="1032163.9"/>
    <n v="1032163.9"/>
    <n v="1032.1639"/>
    <d v="2025-08-08T00:00:00"/>
    <s v="Pago"/>
    <x v="45"/>
    <s v="2ª Tranche"/>
    <s v="1ª"/>
    <s v="AC"/>
    <s v="Liberações"/>
    <n v="0"/>
    <n v="0"/>
    <n v="0"/>
    <n v="0"/>
    <n v="0"/>
    <s v="MLA"/>
    <n v="0"/>
    <n v="0"/>
    <n v="0"/>
    <s v="Andament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5-10-01T00:00:00"/>
    <s v="ENERGISA"/>
    <s v="ENERGISA AC"/>
    <s v="ENERGISA ACRE - DISTRIBUIDORA DE ENERGIA S.A"/>
    <s v="04.065.033/0001-70"/>
    <s v="Programa Luz para Todos"/>
    <d v="2025-10-01T00:00:00"/>
    <n v="26836261.100000001"/>
    <n v="26836261.100000001"/>
    <n v="26836.2611"/>
    <d v="2025-10-10T00:00:00"/>
    <s v="Pago"/>
    <x v="45"/>
    <s v="2ª Tranche"/>
    <s v="2ª"/>
    <s v="AC"/>
    <s v="Liberações"/>
    <n v="0"/>
    <n v="0"/>
    <n v="0"/>
    <n v="0"/>
    <n v="0"/>
    <s v="MLA"/>
    <n v="0"/>
    <n v="0"/>
    <n v="0"/>
    <s v="Andament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5-10-01T00:00:00"/>
    <s v="ENERGISA"/>
    <s v="ENERGISA AC"/>
    <s v="ENERGISA ACRE - DISTRIBUIDORA DE ENERGIA S.A"/>
    <s v="04.065.033/0001-70"/>
    <s v="Programa Luz para Todos"/>
    <d v="2025-10-01T00:00:00"/>
    <n v="6537037.9699999997"/>
    <n v="6537037.9699999997"/>
    <n v="6537.0379699999994"/>
    <d v="2025-10-10T00:00:00"/>
    <s v="Pago"/>
    <x v="45"/>
    <s v="2ª Tranche"/>
    <s v="3ª"/>
    <s v="AC"/>
    <s v="Liberações"/>
    <n v="0"/>
    <n v="0"/>
    <n v="0"/>
    <n v="0"/>
    <n v="0"/>
    <s v="MLA"/>
    <n v="0"/>
    <n v="0"/>
    <n v="0"/>
    <s v="Andament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5-10-01T00:00:00"/>
    <s v="ENERGISA"/>
    <s v="ENERGISA AC"/>
    <s v="ENERGISA ACRE - DISTRIBUIDORA DE ENERGIA S.A"/>
    <s v="04.065.033/0001-70"/>
    <s v="Programa Luz para Todos"/>
    <d v="2025-10-01T00:00:00"/>
    <n v="6537037.9699999997"/>
    <n v="6537037.9699999997"/>
    <n v="6537.0379699999994"/>
    <d v="2025-10-10T00:00:00"/>
    <s v="Pago"/>
    <x v="45"/>
    <s v="2ª Tranche"/>
    <s v="4ª"/>
    <s v="AC"/>
    <s v="Liberações"/>
    <n v="0"/>
    <n v="0"/>
    <n v="0"/>
    <n v="0"/>
    <n v="0"/>
    <s v="MLA"/>
    <n v="0"/>
    <n v="0"/>
    <n v="0"/>
    <s v="Andament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5-10-01T00:00:00"/>
    <s v="ENERGISA"/>
    <s v="ENERGISA AC"/>
    <s v="ENERGISA ACRE - DISTRIBUIDORA DE ENERGIA S.A"/>
    <s v="04.065.033/0001-70"/>
    <s v="Programa Luz para Todos"/>
    <d v="2025-10-01T00:00:00"/>
    <n v="6537037.9699999997"/>
    <n v="6537037.9699999997"/>
    <n v="6537.0379699999994"/>
    <d v="2025-10-10T00:00:00"/>
    <s v="Pago"/>
    <x v="45"/>
    <s v="2ª Tranche"/>
    <s v="5ª"/>
    <s v="AC"/>
    <s v="Liberações"/>
    <n v="0"/>
    <n v="0"/>
    <n v="0"/>
    <n v="0"/>
    <n v="0"/>
    <s v="MLA"/>
    <n v="0"/>
    <n v="0"/>
    <n v="0"/>
    <s v="Andamento"/>
    <s v="02ª"/>
    <s v="ENERGISA"/>
    <s v="ENBPar"/>
    <n v="0"/>
    <n v="0"/>
    <n v="0"/>
    <n v="0"/>
    <n v="0"/>
    <n v="0"/>
    <n v="0"/>
    <n v="0"/>
    <n v="0"/>
    <n v="0"/>
    <n v="0"/>
    <s v="-"/>
    <n v="0"/>
  </r>
  <r>
    <d v="2025-03-01T00:00:00"/>
    <s v="RORAIMA ENERGIA"/>
    <s v="RORAIMA ENERGIA"/>
    <s v="RORAIMA ENERGIA S.A"/>
    <s v="02.341.470/0001-44"/>
    <s v="Programa Luz para Todos"/>
    <d v="2025-02-28T00:00:00"/>
    <n v="28220284.399999999"/>
    <n v="28220284.399999999"/>
    <n v="28220.284399999997"/>
    <d v="2025-03-07T00:00:00"/>
    <s v="Pago"/>
    <x v="46"/>
    <s v="2ª Tranche"/>
    <s v="1ª"/>
    <s v="RR"/>
    <s v="Liberações"/>
    <n v="108539560"/>
    <n v="108539.56"/>
    <n v="97685600"/>
    <n v="97685.6"/>
    <n v="0.89999996314707742"/>
    <s v="MLA"/>
    <n v="0"/>
    <n v="0"/>
    <n v="0"/>
    <s v="Andamento"/>
    <s v="02ª"/>
    <s v="RORAIMA ENERGIA"/>
    <s v="ENBPar"/>
    <n v="0"/>
    <n v="0"/>
    <n v="0"/>
    <n v="0"/>
    <n v="0"/>
    <n v="98672330"/>
    <n v="98672.33"/>
    <n v="0.90900000000000003"/>
    <n v="9867230"/>
    <n v="9867.23"/>
    <n v="9.0999999999999998E-2"/>
    <s v="-"/>
    <n v="0.64580000000000004"/>
  </r>
  <r>
    <d v="2025-03-01T00:00:00"/>
    <s v="RORAIMA ENERGIA"/>
    <s v="RORAIMA ENERGIA"/>
    <s v="EMPRESA BRASILEIRA DE PARTICIPACOES EM ENERGIA NUCLEAR E BINACIONAL S.A. - ENBPAR"/>
    <s v="43.913.162/0001-23"/>
    <s v="Programa Luz para Todos"/>
    <d v="2025-02-27T00:00:00"/>
    <n v="1085395.6000000001"/>
    <n v="1085395.6000000001"/>
    <n v="1085.3956000000001"/>
    <d v="2025-03-07T00:00:00"/>
    <s v="Pago"/>
    <x v="46"/>
    <s v="2ª Tranche"/>
    <s v="1ª"/>
    <s v="RR"/>
    <s v="Liberações"/>
    <n v="0"/>
    <n v="0"/>
    <n v="0"/>
    <n v="0"/>
    <n v="0"/>
    <s v="MLA"/>
    <n v="0"/>
    <n v="0"/>
    <n v="0"/>
    <s v="Andamento"/>
    <s v="02ª"/>
    <s v="RORAIMA ENERGIA"/>
    <s v="ENBPar"/>
    <n v="0"/>
    <n v="0"/>
    <n v="0"/>
    <n v="0"/>
    <n v="0"/>
    <n v="0"/>
    <n v="0"/>
    <n v="0"/>
    <n v="0"/>
    <n v="0"/>
    <n v="0"/>
    <s v="-"/>
    <n v="0"/>
  </r>
  <r>
    <d v="2025-08-01T00:00:00"/>
    <s v="RORAIMA ENERGIA"/>
    <s v="RORAIMA ENERGIA"/>
    <s v="RORAIMA ENERGIA S.A"/>
    <s v="02.341.470/0001-44"/>
    <s v="Programa Luz para Todos"/>
    <d v="2025-08-01T00:00:00"/>
    <n v="19537120"/>
    <n v="19537120"/>
    <n v="19537.12"/>
    <d v="2025-08-08T00:00:00"/>
    <s v="Pago"/>
    <x v="46"/>
    <s v="2ª Tranche"/>
    <s v="2ª"/>
    <s v="RR"/>
    <s v="Liberações"/>
    <n v="0"/>
    <n v="0"/>
    <n v="0"/>
    <n v="0"/>
    <n v="0"/>
    <s v="MLA"/>
    <n v="0"/>
    <n v="0"/>
    <n v="0"/>
    <s v="Andamento"/>
    <s v="02ª"/>
    <s v="RORAIMA ENERGIA"/>
    <s v="ENBPar"/>
    <n v="0"/>
    <n v="0"/>
    <n v="0"/>
    <n v="0"/>
    <n v="0"/>
    <n v="0"/>
    <n v="0"/>
    <n v="0"/>
    <n v="0"/>
    <n v="0"/>
    <n v="0"/>
    <s v="-"/>
    <n v="0"/>
  </r>
  <r>
    <d v="2025-12-01T00:00:00"/>
    <s v="RORAIMA ENERGIA"/>
    <s v="RORAIMA ENERGIA"/>
    <s v="RORAIMA ENERGIA S.A"/>
    <s v="02.341.470/0001-44"/>
    <s v="Programa Luz para Todos"/>
    <d v="2025-12-01T00:00:00"/>
    <n v="9768560"/>
    <n v="9768560"/>
    <n v="9768.56"/>
    <d v="2025-12-12T00:00:00"/>
    <s v="Pago"/>
    <x v="46"/>
    <s v="2ª Tranche"/>
    <s v="3ª"/>
    <s v="RR"/>
    <s v="Liberações"/>
    <n v="0"/>
    <n v="0"/>
    <n v="0"/>
    <n v="0"/>
    <n v="0"/>
    <s v="MLA"/>
    <n v="0"/>
    <n v="0"/>
    <n v="0"/>
    <s v="Andamento"/>
    <s v="02ª"/>
    <s v="RORAIMA ENERGIA"/>
    <s v="ENBPar"/>
    <n v="0"/>
    <n v="0"/>
    <n v="0"/>
    <n v="0"/>
    <n v="0"/>
    <n v="0"/>
    <n v="0"/>
    <n v="0"/>
    <n v="0"/>
    <n v="0"/>
    <n v="0"/>
    <s v="-"/>
    <n v="0"/>
  </r>
  <r>
    <d v="2026-02-01T00:00:00"/>
    <s v="RORAIMA ENERGIA"/>
    <s v="RORAIMA ENERGIA"/>
    <s v="RORAIMA ENERGIA S.A"/>
    <s v="02.341.470/0001-44"/>
    <s v="Programa Luz para Todos"/>
    <d v="2026-03-01T00:00:00"/>
    <n v="9768560"/>
    <n v="9768560"/>
    <n v="9768.56"/>
    <d v="2026-03-20T00:00:00"/>
    <s v="Pago"/>
    <x v="46"/>
    <s v="2ª Tranche"/>
    <s v="4ª"/>
    <s v="RR"/>
    <s v="Liberações"/>
    <n v="0"/>
    <n v="0"/>
    <n v="0"/>
    <n v="0"/>
    <n v="0"/>
    <s v="MLA"/>
    <n v="0"/>
    <n v="0"/>
    <n v="0"/>
    <s v="Andamento"/>
    <s v="02ª"/>
    <s v="RORAIMA ENERGIA"/>
    <s v="ENBPar"/>
    <n v="0"/>
    <n v="0"/>
    <n v="0"/>
    <n v="0"/>
    <n v="0"/>
    <n v="0"/>
    <n v="0"/>
    <n v="0"/>
    <n v="0"/>
    <n v="0"/>
    <n v="0"/>
    <s v="-"/>
    <n v="0"/>
  </r>
  <r>
    <d v="2025-09-01T00:00:00"/>
    <s v="EQUATORIAL"/>
    <s v="EQUATORIAL MARANHÃO"/>
    <s v="EQUATORIAL MARANHAO DISTRIBUIDORA DE ENERGIA S.A"/>
    <s v="06.272.793/0001-84"/>
    <s v="Programa Luz para Todos"/>
    <d v="2025-09-01T00:00:00"/>
    <n v="16383042"/>
    <n v="16383042"/>
    <n v="16383.041999999999"/>
    <d v="2025-09-12T00:00:00"/>
    <s v="Pago"/>
    <x v="47"/>
    <s v="2ª Tranche"/>
    <s v="1ª"/>
    <s v="MA"/>
    <s v="Liberações"/>
    <n v="63011700"/>
    <n v="63011.7"/>
    <n v="56710530"/>
    <n v="56710.53"/>
    <n v="0.9"/>
    <s v="MLA"/>
    <n v="0"/>
    <n v="0"/>
    <n v="0"/>
    <s v="Andamento"/>
    <s v="02ª"/>
    <s v="EQUATORIAL"/>
    <s v="ENBPar"/>
    <n v="0"/>
    <n v="0"/>
    <n v="0"/>
    <n v="0"/>
    <n v="0"/>
    <n v="57283360"/>
    <n v="57283.360000000001"/>
    <n v="0.90900000000000003"/>
    <n v="5728340"/>
    <n v="5728.34"/>
    <n v="9.0999999999999998E-2"/>
    <s v="-"/>
    <n v="0.80959999999999999"/>
  </r>
  <r>
    <d v="2025-09-01T00:00:00"/>
    <s v="EQUATORIAL"/>
    <s v="EQUATORIAL MARANHÃO"/>
    <s v="EMPRESA BRASILEIRA DE PARTICIPACOES EM ENERGIA NUCLEAR E BINACIONAL S.A. - ENBPAR"/>
    <s v="43.913.162/0001-23"/>
    <s v="Programa Luz para Todos"/>
    <d v="2025-09-01T00:00:00"/>
    <n v="630117"/>
    <n v="630117"/>
    <n v="630.11699999999996"/>
    <d v="2025-09-12T00:00:00"/>
    <s v="Pago"/>
    <x v="47"/>
    <s v="2ª Tranche"/>
    <s v="1ª"/>
    <s v="MA"/>
    <s v="Liberações"/>
    <n v="0"/>
    <n v="0"/>
    <n v="0"/>
    <n v="0"/>
    <n v="0"/>
    <s v="MLA"/>
    <n v="0"/>
    <n v="0"/>
    <n v="0"/>
    <s v="Andamento"/>
    <s v="02ª"/>
    <s v="EQUATORIAL"/>
    <s v="ENBPar"/>
    <n v="0"/>
    <n v="0"/>
    <n v="0"/>
    <n v="0"/>
    <n v="0"/>
    <n v="0"/>
    <n v="0"/>
    <n v="0"/>
    <n v="0"/>
    <n v="0"/>
    <n v="0"/>
    <s v="-"/>
    <n v="0"/>
  </r>
  <r>
    <d v="2025-12-01T00:00:00"/>
    <s v="EQUATORIAL"/>
    <s v="EQUATORIAL MARANHÃO"/>
    <s v="EQUATORIAL MARANHAO DISTRIBUIDORA DE ENERGIA S.A"/>
    <s v="06.272.793/0001-84"/>
    <s v="Programa Luz para Todos"/>
    <d v="2025-12-01T00:00:00"/>
    <n v="11342106"/>
    <n v="11342106"/>
    <n v="11342.106"/>
    <d v="2025-12-19T00:00:00"/>
    <s v="Pago"/>
    <x v="47"/>
    <s v="2ª Tranche"/>
    <s v="2ª"/>
    <s v="MA"/>
    <s v="Liberações"/>
    <n v="0"/>
    <n v="0"/>
    <n v="0"/>
    <n v="0"/>
    <n v="0"/>
    <s v="MLA"/>
    <n v="0"/>
    <n v="0"/>
    <n v="0"/>
    <s v="Andamento"/>
    <s v="02ª"/>
    <s v="EQUATORIAL"/>
    <s v="ENBPar"/>
    <n v="0"/>
    <n v="0"/>
    <n v="0"/>
    <n v="0"/>
    <n v="0"/>
    <n v="0"/>
    <n v="0"/>
    <n v="0"/>
    <n v="0"/>
    <n v="0"/>
    <n v="0"/>
    <s v="-"/>
    <n v="0"/>
  </r>
  <r>
    <d v="2025-12-01T00:00:00"/>
    <s v="EQUATORIAL"/>
    <s v="EQUATORIAL MARANHÃO"/>
    <s v="EQUATORIAL MARANHAO DISTRIBUIDORA DE ENERGIA S.A"/>
    <s v="06.272.793/0001-84"/>
    <s v="Programa Luz para Todos"/>
    <d v="2025-12-01T00:00:00"/>
    <n v="5671053"/>
    <n v="5671053"/>
    <n v="5671.0529999999999"/>
    <d v="2025-12-19T00:00:00"/>
    <s v="Pago"/>
    <x v="47"/>
    <s v="2ª Tranche"/>
    <s v="3ª"/>
    <s v="MA"/>
    <s v="Liberações"/>
    <n v="0"/>
    <n v="0"/>
    <n v="0"/>
    <n v="0"/>
    <n v="0"/>
    <s v="MLA"/>
    <n v="0"/>
    <n v="0"/>
    <n v="0"/>
    <s v="Andamento"/>
    <s v="02ª"/>
    <s v="EQUATORIAL"/>
    <s v="ENBPar"/>
    <n v="0"/>
    <n v="0"/>
    <n v="0"/>
    <n v="0"/>
    <n v="0"/>
    <n v="0"/>
    <n v="0"/>
    <n v="0"/>
    <n v="0"/>
    <n v="0"/>
    <n v="0"/>
    <s v="-"/>
    <n v="0"/>
  </r>
  <r>
    <d v="2025-12-01T00:00:00"/>
    <s v="EQUATORIAL"/>
    <s v="EQUATORIAL MARANHÃO"/>
    <s v="EQUATORIAL MARANHAO DISTRIBUIDORA DE ENERGIA S.A"/>
    <s v="06.272.793/0001-84"/>
    <s v="Programa Luz para Todos"/>
    <d v="2025-12-01T00:00:00"/>
    <n v="5671053"/>
    <n v="5671053"/>
    <n v="5671.0529999999999"/>
    <d v="2025-12-19T00:00:00"/>
    <s v="Pago"/>
    <x v="47"/>
    <s v="2ª Tranche"/>
    <s v="4ª"/>
    <s v="MA"/>
    <s v="Liberações"/>
    <n v="0"/>
    <n v="0"/>
    <n v="0"/>
    <n v="0"/>
    <n v="0"/>
    <s v="MLA"/>
    <n v="0"/>
    <n v="0"/>
    <n v="0"/>
    <s v="Andamento"/>
    <s v="02ª"/>
    <s v="EQUATORIAL"/>
    <s v="ENBPar"/>
    <n v="0"/>
    <n v="0"/>
    <n v="0"/>
    <n v="0"/>
    <n v="0"/>
    <n v="0"/>
    <n v="0"/>
    <n v="0"/>
    <n v="0"/>
    <n v="0"/>
    <n v="0"/>
    <s v="-"/>
    <n v="0"/>
  </r>
  <r>
    <d v="2025-09-01T00:00:00"/>
    <s v="EQUATORIAL"/>
    <s v="EQUATORIAL AMAPÁ"/>
    <s v="COMPANHIA DE ELETRICIDADE DO AMAPA CEA"/>
    <s v="05.965.546/0001-09"/>
    <s v="Programa Luz para Todos"/>
    <d v="2025-09-01T00:00:00"/>
    <n v="44619432.100000001"/>
    <n v="44619432.100000001"/>
    <n v="44619.432099999998"/>
    <d v="2025-09-30T00:00:00"/>
    <s v="Pago"/>
    <x v="48"/>
    <s v="2ª Tranche"/>
    <s v="1ª"/>
    <s v="AP"/>
    <s v="Liberações"/>
    <n v="171613190"/>
    <n v="171613.19"/>
    <n v="154451880"/>
    <n v="154451.88"/>
    <n v="0.90000005244352144"/>
    <s v="MLA"/>
    <n v="0"/>
    <n v="0"/>
    <n v="0"/>
    <s v="Andamento"/>
    <s v="02ª"/>
    <s v="EQUATORIAL"/>
    <s v="ENBPar"/>
    <n v="0"/>
    <n v="0"/>
    <n v="0"/>
    <n v="0"/>
    <n v="0"/>
    <n v="156011970"/>
    <n v="156011.97"/>
    <n v="0.90900000000000003"/>
    <n v="15601220"/>
    <n v="15601.22"/>
    <n v="0.91"/>
    <s v="-"/>
    <n v="0.65039999999999998"/>
  </r>
  <r>
    <d v="2025-12-01T00:00:00"/>
    <s v="EQUATORIAL"/>
    <s v="EQUATORIAL AMAPÁ"/>
    <s v="COMPANHIA DE ELETRICIDADE DO AMAPA CEA"/>
    <s v="05.965.546/0001-09"/>
    <s v="Programa Luz para Todos"/>
    <d v="2025-12-01T00:00:00"/>
    <n v="23167782"/>
    <n v="23167782"/>
    <n v="23167.781999999999"/>
    <d v="2025-12-12T00:00:00"/>
    <s v="Pago"/>
    <x v="48"/>
    <s v="2ª Tranche"/>
    <s v="2ª"/>
    <s v="AP"/>
    <s v="Liberações"/>
    <n v="0"/>
    <n v="0"/>
    <n v="0"/>
    <n v="0"/>
    <n v="0"/>
    <s v="MLA"/>
    <n v="0"/>
    <n v="0"/>
    <n v="0"/>
    <s v="Andamento"/>
    <s v="02ª"/>
    <s v="EQUATORIAL"/>
    <s v="ENBPar"/>
    <n v="0"/>
    <n v="0"/>
    <n v="0"/>
    <n v="0"/>
    <n v="0"/>
    <n v="0"/>
    <n v="0"/>
    <n v="0"/>
    <n v="0"/>
    <n v="0"/>
    <n v="0"/>
    <s v="-"/>
    <n v="0"/>
  </r>
  <r>
    <d v="2025-12-01T00:00:00"/>
    <s v="EQUATORIAL"/>
    <s v="EQUATORIAL AMAPÁ"/>
    <s v="COMPANHIA DE ELETRICIDADE DO AMAPA CEA"/>
    <s v="05.965.546/0001-09"/>
    <s v="Programa Luz para Todos"/>
    <d v="2025-12-01T00:00:00"/>
    <n v="23167782"/>
    <n v="23167782"/>
    <n v="23167.781999999999"/>
    <d v="2025-12-12T00:00:00"/>
    <s v="Pago"/>
    <x v="48"/>
    <s v="2ª Tranche"/>
    <s v="3ª"/>
    <s v="AP"/>
    <s v="Liberações"/>
    <n v="0"/>
    <n v="0"/>
    <n v="0"/>
    <n v="0"/>
    <n v="0"/>
    <s v="MLA"/>
    <n v="0"/>
    <n v="0"/>
    <n v="0"/>
    <s v="Andamento"/>
    <s v="02ª"/>
    <s v="EQUATORIAL"/>
    <s v="ENBPar"/>
    <n v="0"/>
    <n v="0"/>
    <n v="0"/>
    <n v="0"/>
    <n v="0"/>
    <n v="0"/>
    <n v="0"/>
    <n v="0"/>
    <n v="0"/>
    <n v="0"/>
    <n v="0"/>
    <s v="-"/>
    <n v="0"/>
  </r>
  <r>
    <d v="2025-09-01T00:00:00"/>
    <s v="EQUATORIAL"/>
    <s v="EQUATORIAL AMAPÁ"/>
    <s v="EMPRESA BRASILEIRA DE PARTICIPACOES EM ENERGIA NUCLEAR E BINACIONAL S.A. - ENBPAR"/>
    <s v="43.913.162/0001-23"/>
    <s v="Programa Luz para Todos"/>
    <d v="2025-09-01T00:00:00"/>
    <n v="1716131.9"/>
    <n v="1716131.9"/>
    <n v="1716.1318999999999"/>
    <d v="2025-09-30T00:00:00"/>
    <s v="Pago"/>
    <x v="48"/>
    <s v="2ª Tranche"/>
    <s v="1ª"/>
    <s v="AP"/>
    <s v="Liberações"/>
    <n v="0"/>
    <n v="0"/>
    <n v="0"/>
    <n v="0"/>
    <n v="0"/>
    <s v="MLA"/>
    <n v="0"/>
    <n v="0"/>
    <n v="0"/>
    <s v="Andamento"/>
    <s v="02ª"/>
    <s v="EQUATORIAL"/>
    <s v="ENBPar"/>
    <n v="0"/>
    <n v="0"/>
    <n v="0"/>
    <n v="0"/>
    <n v="0"/>
    <n v="0"/>
    <n v="0"/>
    <n v="0"/>
    <n v="0"/>
    <n v="0"/>
    <n v="0"/>
    <s v="-"/>
    <n v="0"/>
  </r>
  <r>
    <d v="2025-10-01T00:00:00"/>
    <s v="ENERGISA"/>
    <s v="ENERGISA RO"/>
    <s v="ENERGISA RONDONIA - DISTRIBUIDORA DE ENERGIA S.A"/>
    <s v="05.914.650/0001-66"/>
    <s v="Programa Luz para Todos"/>
    <d v="2025-10-01T00:00:00"/>
    <n v="7832448"/>
    <n v="7832448"/>
    <n v="7832.4480000000003"/>
    <d v="2025-10-31T00:00:00"/>
    <s v="Pago"/>
    <x v="49"/>
    <s v="3ª Tranche"/>
    <s v="1ª"/>
    <s v="RO"/>
    <s v="Liberações"/>
    <n v="30124800"/>
    <n v="30124.799999999999"/>
    <n v="27112320"/>
    <n v="27112.32"/>
    <n v="0.9"/>
    <s v="MLA"/>
    <n v="0"/>
    <n v="0"/>
    <n v="0"/>
    <s v="Andamento"/>
    <s v="03ª"/>
    <s v="ENERGISA"/>
    <s v="ENBPar"/>
    <n v="0"/>
    <n v="0"/>
    <n v="0"/>
    <n v="0"/>
    <n v="0"/>
    <n v="27113390"/>
    <n v="27113.39"/>
    <n v="0.9"/>
    <n v="3011410"/>
    <n v="3011.41"/>
    <n v="0.1"/>
    <s v="-"/>
    <n v="1"/>
  </r>
  <r>
    <d v="2025-10-01T00:00:00"/>
    <s v="ENERGISA"/>
    <s v="ENERGISA RO"/>
    <s v="EMPRESA BRASILEIRA DE PARTICIPACOES EM ENERGIA NUCLEAR E BINACIONAL S.A. - ENBPAR"/>
    <s v="43.913.162/0001-23"/>
    <s v="Programa Luz para Todos"/>
    <d v="2025-10-01T00:00:00"/>
    <n v="301248"/>
    <n v="301248"/>
    <n v="301.24799999999999"/>
    <d v="2025-10-31T00:00:00"/>
    <s v="Pago"/>
    <x v="49"/>
    <s v="3ª Tranche"/>
    <s v="1ª"/>
    <s v="RO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5422464"/>
    <n v="5422464"/>
    <n v="5422.4639999999999"/>
    <d v="2025-12-19T00:00:00"/>
    <s v="Pago"/>
    <x v="49"/>
    <s v="3ª Tranche"/>
    <s v="2ª"/>
    <s v="RO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2711232"/>
    <n v="2711232"/>
    <n v="2711.232"/>
    <d v="2025-12-19T00:00:00"/>
    <s v="Pago"/>
    <x v="49"/>
    <s v="3ª Tranche"/>
    <s v="3ª"/>
    <s v="RO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2711232"/>
    <n v="2711232"/>
    <n v="2711.232"/>
    <d v="2025-12-19T00:00:00"/>
    <s v="Pago"/>
    <x v="49"/>
    <s v="3ª Tranche"/>
    <s v="4ª"/>
    <s v="RO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2711232"/>
    <n v="2711232"/>
    <n v="2711.232"/>
    <d v="2025-12-19T00:00:00"/>
    <s v="Pago"/>
    <x v="49"/>
    <s v="3ª Tranche"/>
    <s v="5ª"/>
    <s v="RO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5-10-01T00:00:00"/>
    <s v="ENERGISA"/>
    <s v="ENERGISA TO"/>
    <s v="ENERGISA TOCANTINS DISTRIBUIDORA DE ENERGIA S.A."/>
    <s v="25.086.034/0001-71"/>
    <s v="Programa Luz para Todos"/>
    <d v="2025-10-01T00:00:00"/>
    <n v="4301289.7"/>
    <n v="4301289.7"/>
    <n v="4301.2897000000003"/>
    <d v="2025-10-24T00:00:00"/>
    <s v="Pago"/>
    <x v="50"/>
    <s v="3ª Tranche"/>
    <s v="1ª"/>
    <s v="TO"/>
    <s v="Liberações"/>
    <n v="16543430"/>
    <n v="16543.43"/>
    <n v="14889080"/>
    <n v="14889.08"/>
    <n v="0.89999957687130183"/>
    <s v="MLA"/>
    <n v="0"/>
    <n v="0"/>
    <n v="0"/>
    <s v="Andamento"/>
    <s v="03ª"/>
    <s v="ENERGISA"/>
    <s v="ENBPar"/>
    <n v="0"/>
    <n v="0"/>
    <n v="0"/>
    <n v="0"/>
    <n v="0"/>
    <n v="15039480"/>
    <n v="15039.48"/>
    <n v="0.90900000000000003"/>
    <n v="1503950"/>
    <n v="1503.95"/>
    <n v="9.0999999999999998E-2"/>
    <s v="-"/>
    <n v="1"/>
  </r>
  <r>
    <d v="2025-10-01T00:00:00"/>
    <s v="ENERGISA"/>
    <s v="ENERGISA TO"/>
    <s v="EMPRESA BRASILEIRA DE PARTICIPACOES EM ENERGIA NUCLEAR E BINACIONAL S.A. - ENBPAR"/>
    <s v="43.913.162/0001-23"/>
    <s v="Programa Luz para Todos"/>
    <d v="2025-10-01T00:00:00"/>
    <n v="165434.29999999999"/>
    <n v="165434.29999999999"/>
    <n v="165.43429999999998"/>
    <d v="2025-10-24T00:00:00"/>
    <s v="Pago"/>
    <x v="50"/>
    <s v="3ª Tranche"/>
    <s v="1ª"/>
    <s v="TO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6-02-01T00:00:00"/>
    <s v="ENERGISA"/>
    <s v="ENERGISA TO"/>
    <s v="ENERGISA TOCANTINS DISTRIBUIDORA DE ENERGIA S.A."/>
    <s v="25.086.034/0001-71"/>
    <s v="Programa Luz para Todos"/>
    <d v="2026-02-01T00:00:00"/>
    <n v="2977816"/>
    <n v="2977816"/>
    <n v="2977.8159999999998"/>
    <d v="2026-02-13T00:00:00"/>
    <s v="Pago"/>
    <x v="50"/>
    <s v="3ª Tranche"/>
    <s v="2ª"/>
    <s v="TO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6-02-01T00:00:00"/>
    <s v="ENERGISA"/>
    <s v="ENERGISA TO"/>
    <s v="ENERGISA TOCANTINS DISTRIBUIDORA DE ENERGIA S.A."/>
    <s v="25.086.034/0001-71"/>
    <s v="Programa Luz para Todos"/>
    <d v="2026-02-01T00:00:00"/>
    <n v="1488908"/>
    <n v="1488908"/>
    <n v="1488.9079999999999"/>
    <d v="2026-02-13T00:00:00"/>
    <s v="Pago"/>
    <x v="50"/>
    <s v="3ª Tranche"/>
    <s v="3ª"/>
    <s v="TO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6-02-01T00:00:00"/>
    <s v="ENERGISA"/>
    <s v="ENERGISA TO"/>
    <s v="ENERGISA TOCANTINS DISTRIBUIDORA DE ENERGIA S.A."/>
    <s v="25.086.034/0001-71"/>
    <s v="Programa Luz para Todos"/>
    <d v="2026-02-01T00:00:00"/>
    <n v="1488908"/>
    <n v="1488908"/>
    <n v="1488.9079999999999"/>
    <d v="2026-02-13T00:00:00"/>
    <s v="Pago"/>
    <x v="50"/>
    <s v="3ª Tranche"/>
    <s v="4ª"/>
    <s v="TO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6-02-01T00:00:00"/>
    <s v="ENERGISA"/>
    <s v="ENERGISA TO"/>
    <s v="ENERGISA TOCANTINS DISTRIBUIDORA DE ENERGIA S.A."/>
    <s v="25.086.034/0001-71"/>
    <s v="Programa Luz para Todos"/>
    <d v="2026-02-01T00:00:00"/>
    <n v="1488908"/>
    <n v="1488908"/>
    <n v="1488.9079999999999"/>
    <d v="2026-02-13T00:00:00"/>
    <s v="Pago"/>
    <x v="50"/>
    <s v="3ª Tranche"/>
    <s v="5ª"/>
    <s v="TO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5-09-01T00:00:00"/>
    <s v="ENERGISA"/>
    <s v="ENERGISA AC"/>
    <s v="ENERGISA ACRE - DISTRIBUIDORA DE ENERGIA S.A"/>
    <s v="04.065.033/0001-70"/>
    <s v="Programa Luz para Todos"/>
    <d v="2025-08-01T00:00:00"/>
    <n v="34729774.399999999"/>
    <n v="34729774.399999999"/>
    <n v="34729.774400000002"/>
    <d v="2025-09-05T00:00:00"/>
    <s v="Pago"/>
    <x v="51"/>
    <s v="3ª Tranche"/>
    <s v="1ª"/>
    <s v="AC"/>
    <s v="Liberações"/>
    <n v="133576060"/>
    <n v="133576.06"/>
    <n v="120218450"/>
    <n v="120218.45"/>
    <n v="0.89999997005451426"/>
    <s v="MLA"/>
    <n v="0"/>
    <n v="0"/>
    <n v="0"/>
    <s v="Andamento"/>
    <s v="03ª"/>
    <s v="ENERGISA"/>
    <s v="ENBPar"/>
    <n v="0"/>
    <n v="0"/>
    <n v="0"/>
    <n v="0"/>
    <n v="0"/>
    <n v="120257030"/>
    <n v="120257.03"/>
    <n v="0.90029999999999999"/>
    <n v="13319030"/>
    <n v="13319.03"/>
    <n v="9.9699999999999997E-2"/>
    <s v="-"/>
    <n v="1.02"/>
  </r>
  <r>
    <d v="2025-09-01T00:00:00"/>
    <s v="ENERGISA"/>
    <s v="ENERGISA AC"/>
    <s v="EMPRESA BRASILEIRA DE PARTICIPACOES EM ENERGIA NUCLEAR E BINACIONAL S.A. - ENBPAR"/>
    <s v="43.913.162/0001-23"/>
    <s v="Programa Luz para Todos"/>
    <d v="2025-08-01T00:00:00"/>
    <n v="1335760.6000000001"/>
    <n v="1335760.6000000001"/>
    <n v="1335.7606000000001"/>
    <d v="2025-09-05T00:00:00"/>
    <s v="Pago"/>
    <x v="51"/>
    <s v="3ª Tranche"/>
    <s v="1ª"/>
    <s v="AC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5-11-01T00:00:00"/>
    <s v="ENERGISA"/>
    <s v="ENERGISA AC"/>
    <s v="ENERGISA ACRE - DISTRIBUIDORA DE ENERGIA S.A"/>
    <s v="04.065.033/0001-70"/>
    <s v="Programa Luz para Todos"/>
    <d v="2025-10-01T00:00:00"/>
    <n v="18032767.5"/>
    <n v="18032767.5"/>
    <n v="18032.767500000002"/>
    <d v="2025-11-07T00:00:00"/>
    <s v="Pago"/>
    <x v="51"/>
    <s v="3ª Tranche"/>
    <s v="2ª "/>
    <s v="AC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5-11-01T00:00:00"/>
    <s v="ENERGISA"/>
    <s v="ENERGISA AC"/>
    <s v="ENERGISA ACRE - DISTRIBUIDORA DE ENERGIA S.A"/>
    <s v="04.065.033/0001-70"/>
    <s v="Programa Luz para Todos"/>
    <d v="2025-10-01T00:00:00"/>
    <n v="18032767.5"/>
    <n v="18032767.5"/>
    <n v="18032.767500000002"/>
    <d v="2025-11-07T00:00:00"/>
    <s v="Pago"/>
    <x v="51"/>
    <s v="3ª Tranche"/>
    <s v="3ª"/>
    <s v="AC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6-02-01T00:00:00"/>
    <s v="ENERGISA"/>
    <s v="ENERGISA AC"/>
    <s v="ENERGISA ACRE - DISTRIBUIDORA DE ENERGIA S.A"/>
    <s v="04.065.033/0001-70"/>
    <s v="Programa Luz para Todos"/>
    <d v="2026-02-01T00:00:00"/>
    <n v="12021845"/>
    <n v="12021845"/>
    <n v="12021.844999999999"/>
    <d v="2026-02-13T00:00:00"/>
    <s v="Pago"/>
    <x v="51"/>
    <s v="3ª Tranche"/>
    <s v="4ª"/>
    <s v="AC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6-02-01T00:00:00"/>
    <s v="ENERGISA"/>
    <s v="ENERGISA AC"/>
    <s v="ENERGISA ACRE - DISTRIBUIDORA DE ENERGIA S.A"/>
    <s v="04.065.033/0001-70"/>
    <s v="Programa Luz para Todos"/>
    <d v="2026-02-01T00:00:00"/>
    <n v="12021845"/>
    <n v="12021845"/>
    <n v="12021.844999999999"/>
    <d v="2026-02-13T00:00:00"/>
    <s v="Pago"/>
    <x v="51"/>
    <s v="3ª Tranche"/>
    <s v="5ª"/>
    <s v="AC"/>
    <s v="Liberações"/>
    <n v="0"/>
    <n v="0"/>
    <n v="0"/>
    <n v="0"/>
    <n v="0"/>
    <s v="MLA"/>
    <n v="0"/>
    <n v="0"/>
    <n v="0"/>
    <s v="Andamento"/>
    <s v="03ª"/>
    <s v="ENERGISA"/>
    <s v="ENBPar"/>
    <n v="0"/>
    <n v="0"/>
    <n v="0"/>
    <n v="0"/>
    <n v="0"/>
    <n v="0"/>
    <n v="0"/>
    <n v="0"/>
    <n v="0"/>
    <n v="0"/>
    <n v="0"/>
    <s v="-"/>
    <n v="0"/>
  </r>
  <r>
    <d v="2025-10-01T00:00:00"/>
    <s v="EQUATORIAL"/>
    <s v="EQUATORIAL PARÁ"/>
    <s v="EQUATORIAL PARA DISTRIBUIDORA DE ENERGIA S.A."/>
    <s v="04.895.728/0001-80"/>
    <s v="Programa Luz para Todos"/>
    <d v="2025-10-01T00:00:00"/>
    <n v="326629882.19999999"/>
    <n v="326629882.19999999"/>
    <n v="326629.88219999999"/>
    <d v="2025-10-31T00:00:00"/>
    <s v="Pago"/>
    <x v="52"/>
    <s v="6ª Tranche"/>
    <s v="1ª"/>
    <s v="PA"/>
    <s v="Liberações"/>
    <n v="1256268780"/>
    <n v="1256268.78"/>
    <n v="1130641900"/>
    <n v="1130641.8999999999"/>
    <n v="0.89999999840798395"/>
    <s v="MLA"/>
    <n v="0"/>
    <n v="0"/>
    <n v="0"/>
    <s v="Andamento"/>
    <s v="06ª"/>
    <s v="EQUATORIAL"/>
    <s v="ENBPar"/>
    <n v="0"/>
    <n v="0"/>
    <n v="0"/>
    <n v="0"/>
    <n v="0"/>
    <n v="1142062410"/>
    <n v="1142062.4099999999"/>
    <n v="0.90910000000000002"/>
    <n v="114206370"/>
    <n v="114206.37"/>
    <n v="9.0899999999999995E-2"/>
    <s v="-"/>
    <n v="0.2465"/>
  </r>
  <r>
    <d v="2025-10-01T00:00:00"/>
    <s v="EQUATORIAL"/>
    <s v="EQUATORIAL PARÁ"/>
    <s v="EMPRESA BRASILEIRA DE PARTICIPACOES EM ENERGIA NUCLEAR E BINACIONAL S.A. - ENBPAR"/>
    <s v="43.913.162/0001-23"/>
    <s v="Programa Luz para Todos"/>
    <d v="2025-10-01T00:00:00"/>
    <n v="12562687.800000001"/>
    <n v="12562687.800000001"/>
    <n v="12562.687800000002"/>
    <d v="2025-10-31T00:00:00"/>
    <s v="Pago"/>
    <x v="52"/>
    <s v="6ª Tranche"/>
    <s v="1ª"/>
    <s v="PA"/>
    <s v="Liberações"/>
    <n v="0"/>
    <n v="0"/>
    <n v="0"/>
    <n v="0"/>
    <n v="0"/>
    <s v="MLA"/>
    <n v="0"/>
    <n v="0"/>
    <n v="0"/>
    <s v="Andamento"/>
    <s v="06ª"/>
    <s v="EQUATORIAL"/>
    <s v="ENBPar"/>
    <n v="0"/>
    <n v="0"/>
    <n v="0"/>
    <n v="0"/>
    <n v="0"/>
    <n v="0"/>
    <n v="0"/>
    <n v="0"/>
    <n v="0"/>
    <n v="0"/>
    <n v="0"/>
    <s v="-"/>
    <n v="0"/>
  </r>
  <r>
    <d v="2025-10-01T00:00:00"/>
    <s v="EQUATORIAL"/>
    <s v="EQUATORIAL PARÁ"/>
    <s v="EQUATORIAL PARA DISTRIBUIDORA DE ENERGIA S.A."/>
    <s v="04.895.728/0001-80"/>
    <s v="Programa Luz para Todos"/>
    <d v="2025-10-01T00:00:00"/>
    <n v="33629396.700000003"/>
    <n v="33629396.700000003"/>
    <n v="33629.396700000005"/>
    <d v="2025-10-31T00:00:00"/>
    <s v="Pago"/>
    <x v="53"/>
    <s v="1ª Tranche"/>
    <s v="1ª"/>
    <s v="PA"/>
    <s v="Liberações"/>
    <n v="129343830"/>
    <n v="129343.83"/>
    <n v="116409450"/>
    <n v="116409.45"/>
    <n v="0.90000002319399386"/>
    <s v="MLA"/>
    <n v="0"/>
    <n v="0"/>
    <n v="0"/>
    <s v="Andamento"/>
    <s v="01ª"/>
    <s v="EQUATORIAL"/>
    <s v="ENBPar"/>
    <n v="0"/>
    <n v="0"/>
    <n v="0"/>
    <n v="0"/>
    <n v="0"/>
    <n v="117585290"/>
    <n v="117585.29"/>
    <n v="0.90900000000000003"/>
    <n v="11758540"/>
    <n v="11758.54"/>
    <n v="9.0999999999999998E-2"/>
    <s v="-"/>
    <n v="0.621"/>
  </r>
  <r>
    <d v="2025-10-01T00:00:00"/>
    <s v="EQUATORIAL"/>
    <s v="EQUATORIAL PARÁ"/>
    <s v="EMPRESA BRASILEIRA DE PARTICIPACOES EM ENERGIA NUCLEAR E BINACIONAL S.A. - ENBPAR"/>
    <s v="43.913.162/0001-23"/>
    <s v="Programa Luz para Todos"/>
    <d v="2025-10-01T00:00:00"/>
    <n v="1293438.3"/>
    <n v="1293438.3"/>
    <n v="1293.4383"/>
    <d v="2025-10-31T00:00:00"/>
    <s v="Pago"/>
    <x v="53"/>
    <s v="1ª Tranche"/>
    <s v="1ª"/>
    <s v="PA"/>
    <s v="Liberações"/>
    <n v="0"/>
    <n v="0"/>
    <n v="0"/>
    <n v="0"/>
    <n v="0"/>
    <s v="MLA"/>
    <n v="0"/>
    <n v="0"/>
    <n v="0"/>
    <s v="Andament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17-06-01T00:00:00"/>
    <s v="NEOENERGIA "/>
    <s v="COELBA"/>
    <s v="CENTRAIS ELETRICAS BRASILEIRAS SA ELETROBRAS"/>
    <s v="00.001.180/0002-07"/>
    <s v="Programa Luz para Todos"/>
    <d v="2017-06-01T00:00:00"/>
    <n v="528477444"/>
    <n v="528477444"/>
    <n v="528477.44400000002"/>
    <s v="Sistema Antigo"/>
    <s v="Pago"/>
    <x v="54"/>
    <s v="9ª Tranche"/>
    <s v="1ª"/>
    <s v="BA"/>
    <s v="Liberações"/>
    <n v="903380240"/>
    <n v="903380.24"/>
    <n v="587197160"/>
    <n v="587197.16"/>
    <n v="0.65000000442781436"/>
    <s v="LPT"/>
    <n v="-92242241.879999995"/>
    <n v="-92242.241880000001"/>
    <n v="-0.15708904634348025"/>
    <s v="Encerrado "/>
    <s v="09ª"/>
    <s v="NEOENERGIA "/>
    <s v="Eletrobras"/>
    <n v="-0.15708904634348025"/>
    <n v="-92242241.879999995"/>
    <n v="-92242.241880000001"/>
    <n v="0"/>
    <n v="0"/>
    <n v="0"/>
    <n v="0"/>
    <n v="0"/>
    <n v="0"/>
    <n v="0"/>
    <n v="0"/>
    <s v="-"/>
    <n v="0"/>
  </r>
  <r>
    <d v="2017-09-01T00:00:00"/>
    <s v="ENERGISA"/>
    <s v="ENERGISA TO"/>
    <s v="CENTRAIS ELETRICAS BRASILEIRAS SA ELETROBRAS"/>
    <s v="00.001.180/0002-07"/>
    <s v="Programa Luz para Todos"/>
    <d v="2017-09-01T00:00:00"/>
    <n v="33001392.060000002"/>
    <n v="33001392.060000002"/>
    <n v="33001.392060000006"/>
    <s v="Sistema Antigo"/>
    <s v="Pago"/>
    <x v="55"/>
    <s v="6ª Tranche"/>
    <s v="1ª"/>
    <s v="TO"/>
    <s v="Liberações"/>
    <n v="122134650"/>
    <n v="122134.65"/>
    <n v="79387520"/>
    <n v="79387.520000000004"/>
    <n v="0.64999997953078836"/>
    <s v="LPT"/>
    <n v="0"/>
    <n v="0"/>
    <n v="0"/>
    <s v="Encerrado "/>
    <s v="06ª"/>
    <s v="ENERGISA"/>
    <s v="Eletrobras"/>
    <n v="0"/>
    <n v="0"/>
    <n v="0"/>
    <n v="0"/>
    <n v="0"/>
    <n v="0"/>
    <n v="0"/>
    <n v="0"/>
    <n v="0"/>
    <n v="0"/>
    <n v="0"/>
    <s v="-"/>
    <n v="0"/>
  </r>
  <r>
    <d v="2018-01-01T00:00:00"/>
    <s v="ENERGISA"/>
    <s v="ENERGISA RO"/>
    <s v="CENTRAIS ELETRICAS BRASILEIRAS SA ELETROBRAS"/>
    <s v="00.001.180/0002-07"/>
    <s v="Programa Luz para Todos"/>
    <d v="2017-12-01T00:00:00"/>
    <n v="323191.14666000003"/>
    <n v="323191.14666000003"/>
    <n v="323.19114666000002"/>
    <s v="Sistema Antigo"/>
    <s v="Pago"/>
    <x v="56"/>
    <s v="6ª Tranche"/>
    <s v="1ª"/>
    <s v="RO"/>
    <s v="Liberações"/>
    <n v="128396140"/>
    <n v="128396.14"/>
    <n v="106992500"/>
    <n v="106992.5"/>
    <n v="0.83329997303657255"/>
    <s v="LPT"/>
    <n v="-13011036.300000001"/>
    <n v="-13011.036300000002"/>
    <n v="-0.12160699394817394"/>
    <s v="Encerrado "/>
    <s v="06ª"/>
    <s v="ENERGISA"/>
    <s v="Eletrobras"/>
    <n v="-0.12160699394817394"/>
    <n v="-13011036.300000001"/>
    <n v="-13011.036300000002"/>
    <n v="0"/>
    <n v="0"/>
    <n v="0"/>
    <n v="0"/>
    <n v="0"/>
    <n v="0"/>
    <n v="0"/>
    <n v="0"/>
    <s v="-"/>
    <n v="0"/>
  </r>
  <r>
    <d v="2018-01-01T00:00:00"/>
    <s v="ENERGISA"/>
    <s v="ENERGISA RO"/>
    <s v="ENERGISA RONDONIA - DISTRIBUIDORA DE ENERGIA S.A"/>
    <s v="05.914.650/0001-66"/>
    <s v="Programa Luz para Todos"/>
    <d v="2017-12-01T00:00:00"/>
    <n v="6795493.8899999997"/>
    <n v="6795493.8899999997"/>
    <n v="6795.4938899999997"/>
    <s v="Sistema Antigo"/>
    <s v="Pago"/>
    <x v="56"/>
    <s v="6ª Tranche"/>
    <s v="1ª"/>
    <s v="RO"/>
    <s v="Liberações"/>
    <n v="0"/>
    <n v="0"/>
    <n v="0"/>
    <n v="0"/>
    <n v="0"/>
    <s v="LPT"/>
    <n v="0"/>
    <n v="0"/>
    <n v="0"/>
    <s v="Encerrado "/>
    <s v="06ª"/>
    <s v="ENERGISA"/>
    <s v="Eletrobras"/>
    <n v="0"/>
    <n v="0"/>
    <n v="0"/>
    <n v="0"/>
    <n v="0"/>
    <n v="0"/>
    <n v="0"/>
    <n v="0"/>
    <n v="0"/>
    <n v="0"/>
    <n v="0"/>
    <s v="-"/>
    <n v="0"/>
  </r>
  <r>
    <d v="2021-03-01T00:00:00"/>
    <s v="ENERGISA"/>
    <s v="ENERGISA RO"/>
    <s v="ENERGISA RONDONIA - DISTRIBUIDORA DE ENERGIA S.A"/>
    <s v="05.914.650/0001-66"/>
    <s v="Programa Luz para Todos"/>
    <d v="2021-03-01T00:00:00"/>
    <n v="16048875"/>
    <n v="16048875"/>
    <n v="16048.875"/>
    <d v="2021-03-12T00:00:00"/>
    <s v="Pago"/>
    <x v="56"/>
    <s v="6ª Tranche"/>
    <s v="2ª"/>
    <s v="RO"/>
    <s v="Liberações"/>
    <n v="0"/>
    <n v="0"/>
    <n v="0"/>
    <n v="0"/>
    <n v="0"/>
    <s v="LPT"/>
    <n v="0"/>
    <n v="0"/>
    <n v="0"/>
    <s v="Encerrado "/>
    <s v="06ª"/>
    <s v="ENERGISA"/>
    <s v="Eletrobras"/>
    <n v="0"/>
    <n v="0"/>
    <n v="0"/>
    <n v="0"/>
    <n v="0"/>
    <n v="0"/>
    <n v="0"/>
    <n v="0"/>
    <n v="0"/>
    <n v="0"/>
    <n v="0"/>
    <s v="-"/>
    <n v="0"/>
  </r>
  <r>
    <d v="2021-03-01T00:00:00"/>
    <s v="ENERGISA"/>
    <s v="ENERGISA RO"/>
    <s v="ENERGISA RONDONIA - DISTRIBUIDORA DE ENERGIA S.A"/>
    <s v="05.914.650/0001-66"/>
    <s v="Programa Luz para Todos"/>
    <d v="2021-03-01T00:00:00"/>
    <n v="16048875"/>
    <n v="16048875"/>
    <n v="16048.875"/>
    <d v="2021-03-12T00:00:00"/>
    <s v="Pago"/>
    <x v="56"/>
    <s v="6ª Tranche"/>
    <s v="3ª"/>
    <s v="RO"/>
    <s v="Liberações"/>
    <n v="0"/>
    <n v="0"/>
    <n v="0"/>
    <n v="0"/>
    <n v="0"/>
    <s v="LPT"/>
    <n v="0"/>
    <n v="0"/>
    <n v="0"/>
    <s v="Encerrado "/>
    <s v="06ª"/>
    <s v="ENERGISA"/>
    <s v="Eletrobras"/>
    <n v="0"/>
    <n v="0"/>
    <n v="0"/>
    <n v="0"/>
    <n v="0"/>
    <n v="0"/>
    <n v="0"/>
    <n v="0"/>
    <n v="0"/>
    <n v="0"/>
    <n v="0"/>
    <s v="-"/>
    <n v="0"/>
  </r>
  <r>
    <d v="2022-12-01T00:00:00"/>
    <s v="ENERGISA"/>
    <s v="ENERGISA RO"/>
    <s v="ENERGISA RONDONIA - DISTRIBUIDORA DE ENERGIA S.A"/>
    <s v="05.914.650/0001-66"/>
    <s v="Programa Luz para Todos"/>
    <d v="2022-11-01T00:00:00"/>
    <n v="10669250"/>
    <n v="10669250"/>
    <n v="10669.25"/>
    <d v="2022-12-09T00:00:00"/>
    <s v="Pago"/>
    <x v="56"/>
    <s v="6ª Tranche"/>
    <s v="4ª"/>
    <s v="RO"/>
    <s v="Liberações"/>
    <n v="0"/>
    <n v="0"/>
    <n v="0"/>
    <n v="0"/>
    <n v="0"/>
    <s v="LPT"/>
    <n v="0"/>
    <n v="0"/>
    <n v="0"/>
    <s v="Encerrado "/>
    <s v="06ª"/>
    <s v="ENERGISA"/>
    <s v="Eletrobras"/>
    <n v="0"/>
    <n v="0"/>
    <n v="0"/>
    <n v="0"/>
    <n v="0"/>
    <n v="0"/>
    <n v="0"/>
    <n v="0"/>
    <n v="0"/>
    <n v="0"/>
    <n v="0"/>
    <s v="-"/>
    <n v="0"/>
  </r>
  <r>
    <d v="2018-01-01T00:00:00"/>
    <s v="ENERGISA"/>
    <s v="ENERGISA MT"/>
    <s v="CENTRAIS ELETRICAS BRASILEIRAS SA ELETROBRAS"/>
    <s v="00.001.180/0002-07"/>
    <s v="Programa Luz para Todos"/>
    <d v="2018-01-01T00:00:00"/>
    <n v="212774799.05000001"/>
    <n v="212774799.05000001"/>
    <n v="212774.79905"/>
    <s v="Sistema Antigo"/>
    <s v="Pago"/>
    <x v="57"/>
    <s v="7ª Tranche"/>
    <s v="1ª"/>
    <s v="MT"/>
    <s v="Liberações"/>
    <n v="350102500"/>
    <n v="350102.5"/>
    <n v="227566630"/>
    <n v="227566.63"/>
    <n v="0.65000001428153187"/>
    <s v="LPT"/>
    <n v="0"/>
    <n v="0"/>
    <n v="0"/>
    <s v="Encerrado "/>
    <s v="07ª"/>
    <s v="ENERGISA"/>
    <s v="Eletrobras"/>
    <n v="0"/>
    <n v="0"/>
    <n v="0"/>
    <n v="0"/>
    <n v="0"/>
    <n v="0"/>
    <n v="0"/>
    <n v="0"/>
    <n v="0"/>
    <n v="0"/>
    <n v="0"/>
    <s v="-"/>
    <n v="0"/>
  </r>
  <r>
    <d v="2018-07-01T00:00:00"/>
    <s v="AMAZONAS ENERGIA"/>
    <s v="AMAZONAS ENERGIA"/>
    <s v="CENTRAIS ELETRICAS BRASILEIRAS SA ELETROBRAS"/>
    <s v="00.001.180/0002-07"/>
    <s v="Programa Luz para Todos"/>
    <d v="2018-07-01T00:00:00"/>
    <n v="778351.2"/>
    <n v="778351.2"/>
    <n v="778.35119999999995"/>
    <s v="Sistema Antigo"/>
    <s v="Pago"/>
    <x v="58"/>
    <s v="1ª Tranche"/>
    <s v="1ª"/>
    <s v="AM"/>
    <s v="Liberações"/>
    <n v="77835120"/>
    <n v="77835.12"/>
    <n v="70051610"/>
    <n v="70051.61"/>
    <n v="0.90000002569534165"/>
    <s v="LPT"/>
    <n v="-21788165.57"/>
    <n v="-21788.165570000001"/>
    <n v="-0.31103019002703863"/>
    <s v="Encerrado "/>
    <s v="01ª"/>
    <s v="AMAZONAS ENERGIA"/>
    <s v="Eletrobras"/>
    <n v="-0.31103019002703863"/>
    <n v="-21788165.57"/>
    <n v="-21788.165570000001"/>
    <n v="0"/>
    <n v="0"/>
    <n v="0"/>
    <n v="0"/>
    <n v="0"/>
    <n v="0"/>
    <n v="0"/>
    <n v="0"/>
    <s v="-"/>
    <n v="0"/>
  </r>
  <r>
    <d v="2018-07-01T00:00:00"/>
    <s v="AMAZONAS ENERGIA"/>
    <s v="AMAZONAS ENERGIA"/>
    <s v="AMAZONAS ENERGIA S.A"/>
    <s v="02.341.467/0001-20"/>
    <s v="Programa Luz para Todos"/>
    <d v="2018-07-01T00:00:00"/>
    <n v="20237131.800000001"/>
    <n v="20237131.800000001"/>
    <n v="20237.131799999999"/>
    <s v="Sistema Antigo"/>
    <s v="Pago"/>
    <x v="58"/>
    <s v="1ª Tranche"/>
    <s v="1ª"/>
    <s v="AM"/>
    <s v="Liberações"/>
    <n v="0"/>
    <n v="0"/>
    <n v="0"/>
    <n v="0"/>
    <n v="0"/>
    <s v="LPT"/>
    <n v="0"/>
    <n v="0"/>
    <n v="0"/>
    <s v="Encerrado "/>
    <s v="01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18-01-01T00:00:00"/>
    <s v="EQUATORIAL"/>
    <s v="EQUATORIAL PARÁ"/>
    <s v="CENTRAIS ELETRICAS BRASILEIRAS SA ELETROBRAS"/>
    <s v="00.001.180/0002-07"/>
    <s v="Programa Luz para Todos"/>
    <d v="2017-12-01T00:00:00"/>
    <n v="1210427.03739"/>
    <n v="1210427.03739"/>
    <n v="1210.4270373899999"/>
    <s v="Sistema Antigo"/>
    <s v="Pago"/>
    <x v="59"/>
    <s v="6ª Tranche"/>
    <s v="1ª"/>
    <s v="PA"/>
    <s v="Liberações"/>
    <n v="475567610"/>
    <n v="475567.61"/>
    <n v="356675710"/>
    <n v="356675.71"/>
    <n v="0.75000000525687605"/>
    <s v="LPT"/>
    <n v="-27410026.010000002"/>
    <n v="-27410.026010000001"/>
    <n v="-7.6848591708137348E-2"/>
    <s v="Encerrado "/>
    <s v="06ª"/>
    <s v="EQUATORIAL"/>
    <s v="Eletrobras"/>
    <n v="-7.6848591708137348E-2"/>
    <n v="-27410026.010000002"/>
    <n v="-27410.026010000001"/>
    <n v="0"/>
    <n v="0"/>
    <n v="0"/>
    <n v="0"/>
    <n v="0"/>
    <n v="0"/>
    <n v="0"/>
    <n v="0"/>
    <s v="-"/>
    <n v="0"/>
  </r>
  <r>
    <d v="2018-01-01T00:00:00"/>
    <s v="EQUATORIAL"/>
    <s v="EQUATORIAL PARÁ"/>
    <s v="EQUATORIAL PARA DISTRIBUIDORA DE ENERGIA S.A."/>
    <s v="04.895.728/0001-80"/>
    <s v="Programa Luz para Todos"/>
    <d v="2017-12-01T00:00:00"/>
    <n v="22425870.460000001"/>
    <n v="22425870.460000001"/>
    <n v="22425.870460000002"/>
    <s v="Sistema Antigo"/>
    <s v="Pago"/>
    <x v="59"/>
    <s v="6ª Tranche"/>
    <s v="1ª"/>
    <s v="PA"/>
    <s v="Liberações"/>
    <n v="0"/>
    <n v="0"/>
    <n v="0"/>
    <n v="0"/>
    <n v="0"/>
    <s v="LPT"/>
    <n v="0"/>
    <n v="0"/>
    <n v="0"/>
    <s v="Encerrado "/>
    <s v="06ª"/>
    <s v="EQUATORIAL"/>
    <s v="Eletrobras"/>
    <n v="0"/>
    <n v="0"/>
    <n v="0"/>
    <n v="0"/>
    <n v="0"/>
    <n v="0"/>
    <n v="0"/>
    <n v="0"/>
    <n v="0"/>
    <n v="0"/>
    <n v="0"/>
    <s v="-"/>
    <n v="0"/>
  </r>
  <r>
    <d v="2018-10-01T00:00:00"/>
    <s v="EQUATORIAL"/>
    <s v="EQUATORIAL PARÁ"/>
    <s v="EQUATORIAL PARA DISTRIBUIDORA DE ENERGIA S.A."/>
    <s v="04.895.728/0001-80"/>
    <s v="Programa Luz para Todos"/>
    <d v="2018-10-01T00:00:00"/>
    <n v="72131072"/>
    <n v="72131072"/>
    <n v="72131.072"/>
    <s v="Sistema Antigo"/>
    <s v="Pago"/>
    <x v="59"/>
    <s v="6ª Tranche"/>
    <s v="2ª"/>
    <s v="PA"/>
    <s v="Liberações"/>
    <n v="0"/>
    <n v="0"/>
    <n v="0"/>
    <n v="0"/>
    <n v="0"/>
    <s v="LPT"/>
    <n v="0"/>
    <n v="0"/>
    <n v="0"/>
    <s v="Encerrado "/>
    <s v="06ª"/>
    <s v="EQUATORIAL"/>
    <s v="Eletrobras"/>
    <n v="0"/>
    <n v="0"/>
    <n v="0"/>
    <n v="0"/>
    <n v="0"/>
    <n v="0"/>
    <n v="0"/>
    <n v="0"/>
    <n v="0"/>
    <n v="0"/>
    <n v="0"/>
    <s v="-"/>
    <n v="0"/>
  </r>
  <r>
    <d v="2020-02-01T00:00:00"/>
    <s v="EQUATORIAL"/>
    <s v="EQUATORIAL PARÁ"/>
    <s v="EQUATORIAL PARA DISTRIBUIDORA DE ENERGIA S.A."/>
    <s v="04.895.728/0001-80"/>
    <s v="Programa Luz para Todos"/>
    <d v="2020-02-01T00:00:00"/>
    <n v="72131072"/>
    <n v="72131072"/>
    <n v="72131.072"/>
    <s v="Sistema Antigo"/>
    <s v="Pago"/>
    <x v="59"/>
    <s v="6ª Tranche"/>
    <s v="3ª "/>
    <s v="PA"/>
    <s v="Liberações"/>
    <n v="0"/>
    <n v="0"/>
    <n v="0"/>
    <n v="0"/>
    <n v="0"/>
    <s v="LPT"/>
    <n v="0"/>
    <n v="0"/>
    <n v="0"/>
    <s v="Encerrado "/>
    <s v="06ª"/>
    <s v="EQUATORIAL"/>
    <s v="Eletrobras"/>
    <n v="0"/>
    <n v="0"/>
    <n v="0"/>
    <n v="0"/>
    <n v="0"/>
    <n v="0"/>
    <n v="0"/>
    <n v="0"/>
    <n v="0"/>
    <n v="0"/>
    <n v="0"/>
    <s v="-"/>
    <n v="0"/>
  </r>
  <r>
    <d v="2020-02-01T00:00:00"/>
    <s v="EQUATORIAL"/>
    <s v="EQUATORIAL PARÁ"/>
    <s v="EQUATORIAL PARA DISTRIBUIDORA DE ENERGIA S.A."/>
    <s v="04.895.728/0001-80"/>
    <s v="Programa Luz para Todos"/>
    <d v="2020-02-01T00:00:00"/>
    <n v="72131072"/>
    <n v="72131072"/>
    <n v="72131.072"/>
    <s v="Sistema Antigo"/>
    <s v="Pago"/>
    <x v="59"/>
    <s v="6ª Tranche"/>
    <s v="4ª"/>
    <s v="PA"/>
    <s v="Liberações"/>
    <n v="0"/>
    <n v="0"/>
    <n v="0"/>
    <n v="0"/>
    <n v="0"/>
    <s v="LPT"/>
    <n v="0"/>
    <n v="0"/>
    <n v="0"/>
    <s v="Encerrado "/>
    <s v="06ª"/>
    <s v="EQUATORIAL"/>
    <s v="Eletrobras"/>
    <n v="0"/>
    <n v="0"/>
    <n v="0"/>
    <n v="0"/>
    <n v="0"/>
    <n v="0"/>
    <n v="0"/>
    <n v="0"/>
    <n v="0"/>
    <n v="0"/>
    <n v="0"/>
    <s v="-"/>
    <n v="0"/>
  </r>
  <r>
    <d v="2018-07-01T00:00:00"/>
    <s v="AMAZONAS ENERGIA"/>
    <s v="AMAZONAS ENERGIA"/>
    <s v="CENTRAIS ELETRICAS BRASILEIRAS SA ELETROBRAS"/>
    <s v="00.001.180/0002-07"/>
    <s v="Programa Luz para Todos"/>
    <d v="2018-07-01T00:00:00"/>
    <n v="3281134.3"/>
    <n v="3281134.3"/>
    <n v="3281.1342999999997"/>
    <s v="Sistema Antigo"/>
    <s v="Pago"/>
    <x v="60"/>
    <s v="9ª Tranche"/>
    <s v="1ª"/>
    <s v="AM"/>
    <s v="Liberações"/>
    <n v="328113360"/>
    <n v="328113.36"/>
    <n v="295302020"/>
    <n v="295302.02"/>
    <n v="0.8999999878090913"/>
    <s v="LPT"/>
    <n v="-46421184.890000001"/>
    <n v="-46421.184890000004"/>
    <n v="-0.15719900896715844"/>
    <s v="Encerrado "/>
    <s v="09ª"/>
    <s v="AMAZONAS ENERGIA"/>
    <s v="Eletrobras"/>
    <n v="-0.15719900896715844"/>
    <n v="-46421184.890000001"/>
    <n v="-46421.184890000004"/>
    <n v="0"/>
    <n v="0"/>
    <n v="0"/>
    <n v="0"/>
    <n v="0"/>
    <n v="0"/>
    <n v="0"/>
    <n v="0"/>
    <s v="-"/>
    <n v="0"/>
  </r>
  <r>
    <d v="2018-07-01T00:00:00"/>
    <s v="AMAZONAS ENERGIA"/>
    <s v="AMAZONAS ENERGIA"/>
    <s v="AMAZONAS ENERGIA S.A"/>
    <s v="02.341.467/0001-20"/>
    <s v="Programa Luz para Todos"/>
    <d v="2018-07-01T00:00:00"/>
    <n v="85309489.700000003"/>
    <n v="85309489.700000003"/>
    <n v="85309.489700000006"/>
    <s v="Sistema Antigo"/>
    <s v="Pago"/>
    <x v="60"/>
    <s v="9ª Tranche"/>
    <s v="1ª"/>
    <s v="AM"/>
    <s v="Liberações"/>
    <n v="0"/>
    <n v="0"/>
    <n v="0"/>
    <n v="0"/>
    <n v="0"/>
    <s v="LPT"/>
    <n v="0"/>
    <n v="0"/>
    <n v="0"/>
    <s v="Encerrado "/>
    <s v="09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18-11-01T00:00:00"/>
    <s v="AMAZONAS ENERGIA"/>
    <s v="AMAZONAS ENERGIA"/>
    <s v="AMAZONAS ENERGIA S.A"/>
    <s v="02.341.467/0001-20"/>
    <s v="Programa Luz para Todos"/>
    <d v="2018-11-01T00:00:00"/>
    <n v="59060416"/>
    <n v="59060416"/>
    <n v="59060.415999999997"/>
    <s v="Sistema Antigo"/>
    <s v="Pago"/>
    <x v="60"/>
    <s v="9ª Tranche"/>
    <s v="2ª"/>
    <s v="AM"/>
    <s v="Liberações"/>
    <n v="0"/>
    <n v="0"/>
    <n v="0"/>
    <n v="0"/>
    <n v="0"/>
    <s v="LPT"/>
    <n v="0"/>
    <n v="0"/>
    <n v="0"/>
    <s v="Encerrado "/>
    <s v="09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20-12-01T00:00:00"/>
    <s v="AMAZONAS ENERGIA"/>
    <s v="AMAZONAS ENERGIA"/>
    <s v="AMAZONAS ENERGIA S.A"/>
    <s v="02.341.467/0001-20"/>
    <s v="Programa Luz para Todos"/>
    <d v="2020-12-01T00:00:00"/>
    <n v="59060416"/>
    <n v="59060416"/>
    <n v="59060.415999999997"/>
    <d v="2020-12-23T00:00:00"/>
    <s v="Pago"/>
    <x v="60"/>
    <s v="9ª Tranche"/>
    <s v="3ª"/>
    <s v="AM"/>
    <s v="Liberações"/>
    <n v="0"/>
    <n v="0"/>
    <n v="0"/>
    <n v="0"/>
    <n v="0"/>
    <s v="LPT"/>
    <n v="0"/>
    <n v="0"/>
    <n v="0"/>
    <s v="Encerrado "/>
    <s v="09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21-08-01T00:00:00"/>
    <s v="AMAZONAS ENERGIA"/>
    <s v="AMAZONAS ENERGIA"/>
    <s v="AMAZONAS ENERGIA S.A"/>
    <s v="02.341.467/0001-20"/>
    <s v="Programa Luz para Todos"/>
    <d v="2021-08-01T00:00:00"/>
    <n v="59060416"/>
    <n v="59060416"/>
    <n v="59060.415999999997"/>
    <s v="Sistema Antigo"/>
    <s v="Pago"/>
    <x v="60"/>
    <s v="9ª Tranche"/>
    <s v="4ª"/>
    <s v="AM"/>
    <s v="Liberações"/>
    <n v="0"/>
    <n v="0"/>
    <n v="0"/>
    <n v="0"/>
    <n v="0"/>
    <s v="LPT"/>
    <n v="0"/>
    <n v="0"/>
    <n v="0"/>
    <s v="Encerrado "/>
    <s v="09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18-04-01T00:00:00"/>
    <s v="RORAIMA ENERGIA"/>
    <s v="RORAIMA ENERGIA"/>
    <s v="CENTRAIS ELETRICAS BRASILEIRAS SA ELETROBRAS"/>
    <s v="00.001.180/0002-07"/>
    <s v="Programa Luz para Todos"/>
    <d v="2018-04-01T00:00:00"/>
    <n v="116925.8"/>
    <n v="116925.8"/>
    <n v="116.92580000000001"/>
    <s v="Sistema Antigo"/>
    <s v="Pago"/>
    <x v="61"/>
    <s v="4ª Tranche"/>
    <s v="1ª"/>
    <s v="RR"/>
    <s v="Liberações"/>
    <n v="11692560"/>
    <n v="11692.56"/>
    <n v="10523310"/>
    <n v="10523.31"/>
    <n v="0.90000051314682161"/>
    <s v="LPT"/>
    <n v="0"/>
    <n v="0"/>
    <n v="0"/>
    <s v="Encerrado "/>
    <s v="04ª"/>
    <s v="RORAIMA ENERGIA"/>
    <s v="Eletrobras"/>
    <n v="0"/>
    <n v="0"/>
    <n v="0"/>
    <n v="0"/>
    <n v="0"/>
    <n v="0"/>
    <n v="0"/>
    <n v="0"/>
    <n v="0"/>
    <n v="0"/>
    <n v="0"/>
    <s v="-"/>
    <n v="0"/>
  </r>
  <r>
    <d v="2018-04-01T00:00:00"/>
    <s v="RORAIMA ENERGIA"/>
    <s v="RORAIMA ENERGIA"/>
    <s v="BOA VISTA ENERGIA S.A."/>
    <s v="02.341.470/0001-44"/>
    <s v="Programa Luz para Todos"/>
    <d v="2018-04-01T00:00:00"/>
    <n v="3040073.2"/>
    <n v="3040073.2"/>
    <n v="3040.0732000000003"/>
    <s v="Sistema Antigo"/>
    <s v="Pago"/>
    <x v="61"/>
    <s v="4ª Tranche"/>
    <s v="1ª"/>
    <s v="RR"/>
    <s v="Liberações"/>
    <n v="0"/>
    <n v="0"/>
    <n v="0"/>
    <n v="0"/>
    <n v="0"/>
    <s v="LPT"/>
    <n v="0"/>
    <n v="0"/>
    <n v="0"/>
    <s v="Encerrado "/>
    <s v="04ª"/>
    <s v="RORAIMA ENERGIA"/>
    <s v="Eletrobras"/>
    <n v="0"/>
    <n v="0"/>
    <n v="0"/>
    <n v="0"/>
    <n v="0"/>
    <n v="0"/>
    <n v="0"/>
    <n v="0"/>
    <n v="0"/>
    <n v="0"/>
    <n v="0"/>
    <s v="-"/>
    <n v="0"/>
  </r>
  <r>
    <d v="2019-08-01T00:00:00"/>
    <s v="RORAIMA ENERGIA"/>
    <s v="RORAIMA ENERGIA"/>
    <s v="RORAIMA ENERGIA S.A"/>
    <s v="02.341.470/0001-44"/>
    <s v="Programa Luz para Todos"/>
    <d v="2019-08-01T00:00:00"/>
    <n v="1052333"/>
    <n v="1052333"/>
    <n v="1052.3330000000001"/>
    <s v="Sistema Antigo"/>
    <s v="Pago"/>
    <x v="61"/>
    <s v="4ª Tranche"/>
    <s v="2ª"/>
    <s v="RR"/>
    <s v="Liberações"/>
    <n v="0"/>
    <n v="0"/>
    <n v="0"/>
    <n v="0"/>
    <n v="0"/>
    <s v="LPT"/>
    <n v="0"/>
    <n v="0"/>
    <n v="0"/>
    <s v="Encerrado "/>
    <s v="04ª"/>
    <s v="RORAIMA ENERGIA"/>
    <s v="Eletrobras"/>
    <n v="0"/>
    <n v="0"/>
    <n v="0"/>
    <n v="0"/>
    <n v="0"/>
    <n v="0"/>
    <n v="0"/>
    <n v="0"/>
    <n v="0"/>
    <n v="0"/>
    <n v="0"/>
    <s v="-"/>
    <n v="0"/>
  </r>
  <r>
    <d v="2021-08-01T00:00:00"/>
    <s v="RORAIMA ENERGIA"/>
    <s v="RORAIMA ENERGIA"/>
    <s v="RORAIMA ENERGIA S.A"/>
    <s v="02.341.470/0001-44"/>
    <s v="Programa Luz para Todos"/>
    <d v="2021-08-01T00:00:00"/>
    <n v="1578492.5"/>
    <n v="1578492.5"/>
    <n v="1578.4925000000001"/>
    <s v="Sistema Antigo"/>
    <s v="Pago"/>
    <x v="61"/>
    <s v="4ª Tranche"/>
    <s v="3ª "/>
    <s v="RR"/>
    <s v="Liberações"/>
    <n v="0"/>
    <n v="0"/>
    <n v="0"/>
    <n v="0"/>
    <n v="0"/>
    <s v="LPT"/>
    <n v="0"/>
    <n v="0"/>
    <n v="0"/>
    <s v="Encerrado "/>
    <s v="04ª"/>
    <s v="RORAIMA ENERGIA"/>
    <s v="Eletrobras"/>
    <n v="0"/>
    <n v="0"/>
    <n v="0"/>
    <n v="0"/>
    <n v="0"/>
    <n v="0"/>
    <n v="0"/>
    <n v="0"/>
    <n v="0"/>
    <n v="0"/>
    <n v="0"/>
    <s v="-"/>
    <n v="0"/>
  </r>
  <r>
    <d v="2021-08-01T00:00:00"/>
    <s v="RORAIMA ENERGIA"/>
    <s v="RORAIMA ENERGIA"/>
    <s v="RORAIMA ENERGIA S.A"/>
    <s v="02.341.470/0001-44"/>
    <s v="Programa Luz para Todos"/>
    <d v="2021-08-01T00:00:00"/>
    <n v="1578492.5"/>
    <n v="1578492.5"/>
    <n v="1578.4925000000001"/>
    <s v="Sistema Antigo"/>
    <s v="Pago"/>
    <x v="61"/>
    <s v="4ª Tranche"/>
    <s v="4ª"/>
    <s v="RR"/>
    <s v="Liberações"/>
    <n v="0"/>
    <n v="0"/>
    <n v="0"/>
    <n v="0"/>
    <n v="0"/>
    <s v="LPT"/>
    <n v="0"/>
    <n v="0"/>
    <n v="0"/>
    <s v="Encerrado "/>
    <s v="04ª"/>
    <s v="RORAIMA ENERGIA"/>
    <s v="Eletrobras"/>
    <n v="0"/>
    <n v="0"/>
    <n v="0"/>
    <n v="0"/>
    <n v="0"/>
    <n v="0"/>
    <n v="0"/>
    <n v="0"/>
    <n v="0"/>
    <n v="0"/>
    <n v="0"/>
    <s v="-"/>
    <n v="0"/>
  </r>
  <r>
    <d v="2023-06-01T00:00:00"/>
    <s v="RORAIMA ENERGIA"/>
    <s v="RORAIMA ENERGIA"/>
    <s v="RORAIMA ENERGIA S.A"/>
    <s v="02.341.470/0001-44"/>
    <s v="Programa Luz para Todos"/>
    <d v="2023-06-01T00:00:00"/>
    <n v="570253.13"/>
    <n v="570253.13"/>
    <n v="570.25313000000006"/>
    <s v="Sistema Antigo"/>
    <s v="Pago"/>
    <x v="61"/>
    <s v="4ª Tranche"/>
    <s v="parcela final"/>
    <s v="RR"/>
    <s v="Liberações"/>
    <n v="0"/>
    <n v="0"/>
    <n v="0"/>
    <n v="0"/>
    <n v="0"/>
    <s v="LPT"/>
    <n v="0"/>
    <n v="0"/>
    <n v="0"/>
    <s v="Encerrado "/>
    <s v="04ª"/>
    <s v="RORAIMA ENERGIA"/>
    <s v="Eletrobras"/>
    <n v="0"/>
    <n v="0"/>
    <n v="0"/>
    <n v="0"/>
    <n v="0"/>
    <n v="0"/>
    <n v="0"/>
    <n v="0"/>
    <n v="0"/>
    <n v="0"/>
    <n v="0"/>
    <s v="-"/>
    <n v="0"/>
  </r>
  <r>
    <d v="2018-06-01T00:00:00"/>
    <s v="EQUATORIAL"/>
    <s v="EQUATORIAL AMAPÁ"/>
    <s v="CENTRAIS ELETRICAS BRASILEIRAS SA ELETROBRAS"/>
    <s v="00.001.180/0002-07"/>
    <s v="Programa Luz para Todos"/>
    <d v="2018-06-01T00:00:00"/>
    <n v="49317687"/>
    <n v="49317687"/>
    <n v="49317.686999999998"/>
    <s v="Sistema Antigo"/>
    <s v="Pago"/>
    <x v="62"/>
    <s v="3ª Tranche"/>
    <s v="1ª"/>
    <s v="AP"/>
    <s v="Liberações"/>
    <n v="172681140"/>
    <n v="172681.14"/>
    <n v="164392290"/>
    <n v="164392.29"/>
    <n v="0.95199910077035632"/>
    <s v="LPT"/>
    <n v="0"/>
    <n v="0"/>
    <n v="0"/>
    <s v="Encerrado "/>
    <s v="03ª"/>
    <s v="EQUATORIAL"/>
    <s v="Eletrobras"/>
    <n v="0"/>
    <n v="0"/>
    <n v="0"/>
    <n v="0"/>
    <n v="0"/>
    <n v="0"/>
    <n v="0"/>
    <n v="0"/>
    <n v="0"/>
    <n v="0"/>
    <n v="0"/>
    <s v="-"/>
    <n v="0"/>
  </r>
  <r>
    <d v="2018-06-01T00:00:00"/>
    <s v="EQUATORIAL"/>
    <s v="EQUATORIAL AMAPÁ"/>
    <s v="CENTRAIS ELÉTRICAS DO NORTE DO BRASIL S/A - ELETRONORTE"/>
    <s v="00.357.038/0001-16"/>
    <s v="Programa Luz para Todos"/>
    <d v="2018-06-01T00:00:00"/>
    <n v="47590875.600000001"/>
    <n v="47590875.600000001"/>
    <n v="47590.875599999999"/>
    <s v="Sistema Antigo"/>
    <s v="Pago"/>
    <x v="62"/>
    <s v="3ª Tranche"/>
    <s v="1ª"/>
    <s v="AP"/>
    <s v="Liberações"/>
    <n v="0"/>
    <n v="0"/>
    <n v="0"/>
    <n v="0"/>
    <n v="0"/>
    <s v="LPT"/>
    <n v="0"/>
    <n v="0"/>
    <n v="0"/>
    <s v="Encerrado "/>
    <s v="03ª"/>
    <s v="EQUATORIAL"/>
    <s v="Eletrobras"/>
    <n v="0"/>
    <n v="0"/>
    <n v="0"/>
    <n v="0"/>
    <n v="0"/>
    <n v="0"/>
    <n v="0"/>
    <n v="0"/>
    <n v="0"/>
    <n v="0"/>
    <n v="0"/>
    <s v="-"/>
    <n v="0"/>
  </r>
  <r>
    <d v="2018-06-01T00:00:00"/>
    <s v="EQUATORIAL"/>
    <s v="EQUATORIAL AMAPÁ"/>
    <s v="COMPANHIA DE ELETRICIDADE DO AMAPA CEA"/>
    <s v="05.965.546/0001-09"/>
    <s v="Programa Luz para Todos"/>
    <d v="2018-06-01T00:00:00"/>
    <n v="6920295.0499999998"/>
    <n v="6920295.0499999998"/>
    <n v="6920.2950499999997"/>
    <s v="Sistema Antigo"/>
    <s v="Pago"/>
    <x v="63"/>
    <s v="1ª Tranche"/>
    <s v="1ª"/>
    <s v="AP"/>
    <s v="Liberações"/>
    <n v="82637010"/>
    <n v="82637.009999999995"/>
    <n v="74373310"/>
    <n v="74373.31"/>
    <n v="0.90000001210111547"/>
    <s v="LPT"/>
    <n v="-29654401.890000001"/>
    <n v="-29654.401890000001"/>
    <n v="-0.39872370733533308"/>
    <s v="Encerramento"/>
    <s v="01ª"/>
    <s v="EQUATORIAL"/>
    <s v="ENBPar"/>
    <n v="-0.69025608420547635"/>
    <n v="-29654401.890000001"/>
    <n v="-29654.401890000001"/>
    <n v="-51336629.729999997"/>
    <n v="-51336.629729999993"/>
    <n v="74426060"/>
    <n v="74426.06"/>
    <n v="0.90010000000000001"/>
    <n v="8210950.0000000009"/>
    <n v="8210.9500000000007"/>
    <n v="9.9000000000000005E-2"/>
    <s v="Aguardando a Nova IF, após Contestação"/>
    <n v="0.42520000000000002"/>
  </r>
  <r>
    <d v="2018-07-01T00:00:00"/>
    <s v="EQUATORIAL"/>
    <s v="EQUATORIAL AMAPÁ"/>
    <s v="COMPANHIA DE ELETRICIDADE DO AMAPA CEA"/>
    <s v="05.965.546/0001-09"/>
    <s v="Programa Luz para Todos"/>
    <d v="2018-07-01T00:00:00"/>
    <n v="13418596.039999999"/>
    <n v="13418596.039999999"/>
    <n v="13418.596039999999"/>
    <s v="Sistema Antigo"/>
    <s v="Pago"/>
    <x v="63"/>
    <s v="1ª Tranche"/>
    <s v="1ª"/>
    <s v="AP"/>
    <s v="Liberações"/>
    <n v="0"/>
    <n v="0"/>
    <n v="0"/>
    <n v="0"/>
    <n v="0"/>
    <s v="LPT"/>
    <n v="0"/>
    <n v="0"/>
    <n v="0"/>
    <s v="Encerrament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18-07-01T00:00:00"/>
    <s v="EQUATORIAL"/>
    <s v="EQUATORIAL AMAPÁ"/>
    <s v="COMPANHIA DE ELETRICIDADE DO AMAPA CEA"/>
    <s v="05.965.546/0001-09"/>
    <s v="Programa Luz para Todos"/>
    <d v="2018-07-01T00:00:00"/>
    <n v="1146801.1100000001"/>
    <n v="1146801.1100000001"/>
    <n v="1146.8011100000001"/>
    <s v="Sistema Antigo"/>
    <s v="Pago"/>
    <x v="63"/>
    <s v="1ª Tranche"/>
    <s v="1ª"/>
    <s v="AP"/>
    <s v="Liberações"/>
    <n v="0"/>
    <n v="0"/>
    <n v="0"/>
    <n v="0"/>
    <n v="0"/>
    <s v="LPT"/>
    <n v="0"/>
    <n v="0"/>
    <n v="0"/>
    <s v="Encerrament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18-06-01T00:00:00"/>
    <s v="EQUATORIAL"/>
    <s v="EQUATORIAL AMAPÁ"/>
    <s v="CENTRAIS ELETRICAS BRASILEIRAS SA ELETROBRAS"/>
    <s v="00.001.180/0002-07"/>
    <s v="Programa Luz para Todos"/>
    <d v="2018-06-01T00:00:00"/>
    <n v="826372.8"/>
    <n v="826372.8"/>
    <n v="826.3728000000001"/>
    <s v="Sistema Antigo"/>
    <s v="Pago"/>
    <x v="63"/>
    <s v="1ª Tranche"/>
    <s v="1ª"/>
    <s v="AP"/>
    <s v="Liberações"/>
    <n v="0"/>
    <n v="0"/>
    <n v="0"/>
    <n v="0"/>
    <n v="0"/>
    <s v="LPT"/>
    <n v="0"/>
    <n v="0"/>
    <n v="0"/>
    <s v="Encerrament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18-10-01T00:00:00"/>
    <s v="EQUATORIAL"/>
    <s v="EQUATORIAL AMAPÁ"/>
    <s v="COMPANHIA DE ELETRICIDADE DO AMAPA CEA"/>
    <s v="05.965.546/0001-09"/>
    <s v="Programa Luz para Todos"/>
    <d v="2018-10-01T00:00:00"/>
    <n v="8067096.1600000001"/>
    <n v="8067096.1600000001"/>
    <n v="8067.0961600000001"/>
    <s v="Sistema Antigo"/>
    <s v="Pago"/>
    <x v="63"/>
    <s v="1ª Tranche"/>
    <s v="2ª"/>
    <s v="AP"/>
    <s v="Liberações"/>
    <n v="0"/>
    <n v="0"/>
    <n v="0"/>
    <n v="0"/>
    <n v="0"/>
    <s v="LPT"/>
    <n v="0"/>
    <n v="0"/>
    <n v="0"/>
    <s v="Encerrament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21-12-01T00:00:00"/>
    <s v="EQUATORIAL"/>
    <s v="EQUATORIAL AMAPÁ"/>
    <s v="COMPANHIA DE ELETRICIDADE DO AMAPA CEA"/>
    <s v="05.965.546/0001-09"/>
    <s v="Programa Luz para Todos"/>
    <d v="2021-12-01T00:00:00"/>
    <n v="7437355"/>
    <n v="7437355"/>
    <n v="7437.3549999999996"/>
    <d v="2021-12-17T00:00:00"/>
    <s v="Pago"/>
    <x v="63"/>
    <s v="1ª Tranche"/>
    <s v="2ª"/>
    <s v="AP"/>
    <s v="Liberações"/>
    <n v="0"/>
    <n v="0"/>
    <n v="0"/>
    <n v="0"/>
    <n v="0"/>
    <s v="LPT"/>
    <n v="0"/>
    <n v="0"/>
    <n v="0"/>
    <s v="Encerrament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24-01-01T00:00:00"/>
    <s v="EQUATORIAL"/>
    <s v="EQUATORIAL AMAPÁ"/>
    <s v="COMPANHIA DE ELETRICIDADE DO AMAPA CEA"/>
    <s v="05.965.546/0001-09"/>
    <s v="Programa Luz para Todos"/>
    <d v="2024-01-02T00:00:00"/>
    <n v="14874566"/>
    <n v="14874566"/>
    <n v="14874.566000000001"/>
    <d v="2024-01-19T00:00:00"/>
    <s v="Pago"/>
    <x v="63"/>
    <s v="1ª Tranche"/>
    <s v="3ª"/>
    <s v="AP"/>
    <s v="Liberações"/>
    <n v="0"/>
    <n v="0"/>
    <n v="0"/>
    <n v="0"/>
    <n v="0"/>
    <s v="LPT"/>
    <n v="0"/>
    <n v="0"/>
    <n v="0"/>
    <s v="Encerramento"/>
    <s v="01ª"/>
    <s v="EQUATORIAL"/>
    <s v="ENBPar"/>
    <n v="0"/>
    <n v="0"/>
    <n v="0"/>
    <n v="0"/>
    <n v="0"/>
    <n v="0"/>
    <n v="0"/>
    <n v="0"/>
    <n v="0"/>
    <n v="0"/>
    <n v="0"/>
    <s v="-"/>
    <n v="0"/>
  </r>
  <r>
    <d v="2018-05-01T00:00:00"/>
    <s v="EQUATORIAL"/>
    <s v="EQUATORIAL PARÁ"/>
    <s v="CENTRAIS ELETRICAS BRASILEIRAS SA ELETROBRAS"/>
    <s v="00.001.180/0002-07"/>
    <s v="Programa Luz para Todos"/>
    <d v="2018-05-01T00:00:00"/>
    <n v="342362"/>
    <n v="342362"/>
    <n v="342.36200000000002"/>
    <s v="Sistema Antigo"/>
    <s v="Pago"/>
    <x v="64"/>
    <s v="2ª Tranche"/>
    <s v="1ª"/>
    <s v="PA"/>
    <s v="Liberações"/>
    <n v="35403180"/>
    <n v="35403.18"/>
    <n v="31862860"/>
    <n v="31862.86"/>
    <n v="0.89999994350789958"/>
    <s v="LPT"/>
    <n v="0"/>
    <n v="0"/>
    <n v="0"/>
    <s v="Encerrado "/>
    <s v="02ª"/>
    <s v="EQUATORIAL"/>
    <s v="Eletrobras"/>
    <n v="0"/>
    <n v="0"/>
    <n v="0"/>
    <n v="0"/>
    <n v="0"/>
    <n v="0"/>
    <n v="0"/>
    <n v="0"/>
    <n v="0"/>
    <n v="0"/>
    <n v="0"/>
    <s v="-"/>
    <n v="0"/>
  </r>
  <r>
    <d v="2018-05-01T00:00:00"/>
    <s v="EQUATORIAL"/>
    <s v="EQUATORIAL PARÁ"/>
    <s v="EQUATORIAL PARA DISTRIBUIDORA DE ENERGIA S.A."/>
    <s v="04.895.728/0001-80"/>
    <s v="Programa Luz para Todos"/>
    <d v="2018-05-01T00:00:00"/>
    <n v="8901412"/>
    <n v="8901412"/>
    <n v="8901.4120000000003"/>
    <s v="Sistema Antigo"/>
    <s v="Pago"/>
    <x v="64"/>
    <s v="2ª Tranche"/>
    <s v="1ª"/>
    <s v="PA"/>
    <s v="Liberações"/>
    <n v="0"/>
    <n v="0"/>
    <n v="0"/>
    <n v="0"/>
    <n v="0"/>
    <s v="LPT"/>
    <n v="0"/>
    <n v="0"/>
    <n v="0"/>
    <s v="Encerrado "/>
    <s v="02ª"/>
    <s v="EQUATORIAL"/>
    <s v="Eletrobras"/>
    <n v="0"/>
    <n v="0"/>
    <n v="0"/>
    <n v="0"/>
    <n v="0"/>
    <n v="0"/>
    <n v="0"/>
    <n v="0"/>
    <n v="0"/>
    <n v="0"/>
    <n v="0"/>
    <s v="-"/>
    <n v="0"/>
  </r>
  <r>
    <d v="2020-01-01T00:00:00"/>
    <s v="EQUATORIAL"/>
    <s v="EQUATORIAL PARÁ"/>
    <s v="EQUATORIAL PARA DISTRIBUIDORA DE ENERGIA S.A."/>
    <s v="04.895.728/0001-80"/>
    <s v="Programa Luz para Todos"/>
    <d v="2020-01-01T00:00:00"/>
    <n v="8901412"/>
    <n v="8901412"/>
    <n v="8901.4120000000003"/>
    <s v="Sistema Antigo"/>
    <s v="Pago"/>
    <x v="64"/>
    <s v="2ª Tranche"/>
    <s v="2ª"/>
    <s v="PA"/>
    <s v="Liberações"/>
    <n v="0"/>
    <n v="0"/>
    <n v="0"/>
    <n v="0"/>
    <n v="0"/>
    <s v="LPT"/>
    <n v="0"/>
    <n v="0"/>
    <n v="0"/>
    <s v="Encerrado "/>
    <s v="02ª"/>
    <s v="EQUATORIAL"/>
    <s v="Eletrobras"/>
    <n v="0"/>
    <n v="0"/>
    <n v="0"/>
    <n v="0"/>
    <n v="0"/>
    <n v="0"/>
    <n v="0"/>
    <n v="0"/>
    <n v="0"/>
    <n v="0"/>
    <n v="0"/>
    <s v="-"/>
    <n v="0"/>
  </r>
  <r>
    <d v="2020-01-01T00:00:00"/>
    <s v="EQUATORIAL"/>
    <s v="EQUATORIAL PARÁ"/>
    <s v="EQUATORIAL PARA DISTRIBUIDORA DE ENERGIA S.A."/>
    <s v="04.895.728/0001-80"/>
    <s v="Programa Luz para Todos"/>
    <d v="2020-01-01T00:00:00"/>
    <n v="5108152"/>
    <n v="5108152"/>
    <n v="5108.152"/>
    <s v="Sistema Antigo"/>
    <s v="Pago"/>
    <x v="64"/>
    <s v="2ª Tranche"/>
    <s v="3ª"/>
    <s v="PA"/>
    <s v="Liberações"/>
    <n v="0"/>
    <n v="0"/>
    <n v="0"/>
    <n v="0"/>
    <n v="0"/>
    <s v="LPT"/>
    <n v="0"/>
    <n v="0"/>
    <n v="0"/>
    <s v="Encerrado "/>
    <s v="02ª"/>
    <s v="EQUATORIAL"/>
    <s v="Eletrobras"/>
    <n v="0"/>
    <n v="0"/>
    <n v="0"/>
    <n v="0"/>
    <n v="0"/>
    <n v="0"/>
    <n v="0"/>
    <n v="0"/>
    <n v="0"/>
    <n v="0"/>
    <n v="0"/>
    <s v="-"/>
    <n v="0"/>
  </r>
  <r>
    <d v="2020-01-01T00:00:00"/>
    <s v="EQUATORIAL"/>
    <s v="EQUATORIAL PARÁ"/>
    <s v="EQUATORIAL PARA DISTRIBUIDORA DE ENERGIA S.A."/>
    <s v="04.895.728/0001-80"/>
    <s v="Programa Luz para Todos"/>
    <d v="2020-01-01T00:00:00"/>
    <n v="2554076"/>
    <n v="2554076"/>
    <n v="2554.076"/>
    <s v="Sistema Antigo"/>
    <s v="Pago"/>
    <x v="64"/>
    <s v="2ª Tranche"/>
    <s v="4ª"/>
    <s v="PA"/>
    <s v="Liberações"/>
    <n v="0"/>
    <n v="0"/>
    <n v="0"/>
    <n v="0"/>
    <n v="0"/>
    <s v="LPT"/>
    <n v="0"/>
    <n v="0"/>
    <n v="0"/>
    <s v="Encerrado "/>
    <s v="02ª"/>
    <s v="EQUATORIAL"/>
    <s v="Eletrobras"/>
    <n v="0"/>
    <n v="0"/>
    <n v="0"/>
    <n v="0"/>
    <n v="0"/>
    <n v="0"/>
    <n v="0"/>
    <n v="0"/>
    <n v="0"/>
    <n v="0"/>
    <n v="0"/>
    <s v="-"/>
    <n v="0"/>
  </r>
  <r>
    <d v="2024-06-01T00:00:00"/>
    <s v="EQUATORIAL"/>
    <s v="EQUATORIAL PARÁ"/>
    <s v="EQUATORIAL PARA DISTRIBUIDORA DE ENERGIA S.A."/>
    <s v="04.895.728/0001-80"/>
    <s v="Programa Luz para Todos"/>
    <d v="2024-06-01T00:00:00"/>
    <n v="2880044.23"/>
    <n v="2880044.23"/>
    <n v="2880.04423"/>
    <d v="2024-07-26T00:00:00"/>
    <s v="Pago"/>
    <x v="64"/>
    <s v="2ª Tranche"/>
    <s v="parcela final"/>
    <s v="PA"/>
    <s v="Liberações"/>
    <n v="0"/>
    <n v="0"/>
    <n v="0"/>
    <n v="0"/>
    <n v="0"/>
    <s v="LPT"/>
    <n v="0"/>
    <n v="0"/>
    <n v="0"/>
    <s v="Encerrado "/>
    <s v="02ª"/>
    <s v="EQUATORIAL"/>
    <s v="Eletrobras"/>
    <n v="0"/>
    <n v="0"/>
    <n v="0"/>
    <n v="0"/>
    <n v="0"/>
    <n v="0"/>
    <n v="0"/>
    <n v="0"/>
    <n v="0"/>
    <n v="0"/>
    <n v="0"/>
    <s v="-"/>
    <n v="0"/>
  </r>
  <r>
    <d v="2018-08-01T00:00:00"/>
    <s v="EQUATORIAL"/>
    <s v="EQUATORIAL MARANHÃO"/>
    <s v="CENTRAIS ELETRICAS BRASILEIRAS SA ELETROBRAS"/>
    <s v="00.001.180/0002-07"/>
    <s v="Programa Luz para Todos"/>
    <d v="2018-08-01T00:00:00"/>
    <n v="1453223.6"/>
    <n v="1453223.6"/>
    <n v="1453.2236"/>
    <s v="Sistema Antigo"/>
    <s v="Pago"/>
    <x v="65"/>
    <s v="9ª Tranche"/>
    <s v="1ª"/>
    <s v="MA"/>
    <s v="Liberações"/>
    <n v="145321490"/>
    <n v="145321.49"/>
    <n v="108991120"/>
    <n v="108991.12"/>
    <n v="0.75000001720323672"/>
    <s v="LPT"/>
    <n v="-13330011.5"/>
    <n v="-13330.011500000001"/>
    <n v="-0.12230364730631266"/>
    <s v="Encerrado "/>
    <s v="09ª"/>
    <s v="EQUATORIAL"/>
    <s v="Eletrobras"/>
    <n v="-0.22229827989656409"/>
    <n v="-13330011.5"/>
    <n v="-13330.011500000001"/>
    <n v="0"/>
    <n v="0"/>
    <n v="0"/>
    <n v="0"/>
    <n v="0"/>
    <n v="0"/>
    <n v="0"/>
    <n v="0"/>
    <s v="-"/>
    <n v="0"/>
  </r>
  <r>
    <d v="2018-08-01T00:00:00"/>
    <s v="EQUATORIAL"/>
    <s v="EQUATORIAL MARANHÃO"/>
    <s v="EQUATORIAL MARANHAO DISTRIBUIDORA DE ENERGIA S.A"/>
    <s v="06.272.793/0001-84"/>
    <s v="Programa Luz para Todos"/>
    <d v="2018-08-01T00:00:00"/>
    <n v="31244307.399999999"/>
    <n v="31244307.399999999"/>
    <n v="31244.307399999998"/>
    <s v="Sistema Antigo"/>
    <s v="Pago"/>
    <x v="65"/>
    <s v="9ª Tranche"/>
    <s v="1ª"/>
    <s v="MA"/>
    <s v="Liberações"/>
    <n v="0"/>
    <n v="0"/>
    <n v="0"/>
    <n v="0"/>
    <n v="0"/>
    <s v="LPT"/>
    <n v="0"/>
    <n v="0"/>
    <n v="0"/>
    <s v="Encerrado "/>
    <s v="09ª"/>
    <s v="EQUATORIAL"/>
    <s v="Eletrobras"/>
    <n v="0"/>
    <n v="0"/>
    <n v="0"/>
    <n v="0"/>
    <n v="0"/>
    <n v="0"/>
    <n v="0"/>
    <n v="0"/>
    <n v="0"/>
    <n v="0"/>
    <n v="0"/>
    <s v="-"/>
    <n v="0"/>
  </r>
  <r>
    <d v="2018-09-01T00:00:00"/>
    <s v="EQUATORIAL"/>
    <s v="EQUATORIAL MARANHÃO"/>
    <s v="EQUATORIAL MARANHAO DISTRIBUIDORA DE ENERGIA S.A"/>
    <s v="06.272.793/0001-84"/>
    <s v="Programa Luz para Todos"/>
    <d v="2018-09-01T00:00:00"/>
    <n v="21798354"/>
    <n v="21798354"/>
    <n v="21798.353999999999"/>
    <s v="Sistema Antigo"/>
    <s v="Pago"/>
    <x v="65"/>
    <s v="9ª Tranche"/>
    <s v="2ª"/>
    <s v="MA"/>
    <s v="Liberações"/>
    <n v="0"/>
    <n v="0"/>
    <n v="0"/>
    <n v="0"/>
    <n v="0"/>
    <s v="LPT"/>
    <n v="0"/>
    <n v="0"/>
    <n v="0"/>
    <s v="Encerrado "/>
    <s v="09ª"/>
    <s v="EQUATORIAL"/>
    <s v="Eletrobras"/>
    <n v="0"/>
    <n v="0"/>
    <n v="0"/>
    <n v="0"/>
    <n v="0"/>
    <n v="0"/>
    <n v="0"/>
    <n v="0"/>
    <n v="0"/>
    <n v="0"/>
    <n v="0"/>
    <s v="-"/>
    <n v="0"/>
  </r>
  <r>
    <d v="2018-11-01T00:00:00"/>
    <s v="EQUATORIAL"/>
    <s v="EQUATORIAL MARANHÃO"/>
    <s v="EQUATORIAL MARANHAO DISTRIBUIDORA DE ENERGIA S.A"/>
    <s v="06.272.793/0001-84"/>
    <s v="Programa Luz para Todos"/>
    <d v="2018-11-01T00:00:00"/>
    <n v="21798354"/>
    <n v="21798354"/>
    <n v="21798.353999999999"/>
    <s v="Sistema Antigo"/>
    <s v="Pago"/>
    <x v="65"/>
    <s v="9ª Tranche"/>
    <s v="3ª"/>
    <s v="MA"/>
    <s v="Liberações"/>
    <n v="0"/>
    <n v="0"/>
    <n v="0"/>
    <n v="0"/>
    <n v="0"/>
    <s v="LPT"/>
    <n v="0"/>
    <n v="0"/>
    <n v="0"/>
    <s v="Encerrado "/>
    <s v="09ª"/>
    <s v="EQUATORIAL"/>
    <s v="Eletrobras"/>
    <n v="0"/>
    <n v="0"/>
    <n v="0"/>
    <n v="0"/>
    <n v="0"/>
    <n v="0"/>
    <n v="0"/>
    <n v="0"/>
    <n v="0"/>
    <n v="0"/>
    <n v="0"/>
    <s v="-"/>
    <n v="0"/>
  </r>
  <r>
    <d v="2018-12-01T00:00:00"/>
    <s v="EQUATORIAL"/>
    <s v="EQUATORIAL MARANHÃO"/>
    <s v="EQUATORIAL MARANHAO DISTRIBUIDORA DE ENERGIA S.A"/>
    <s v="06.272.793/0001-84"/>
    <s v="Programa Luz para Todos"/>
    <d v="2018-12-01T00:00:00"/>
    <n v="21798354"/>
    <n v="21798354"/>
    <n v="21798.353999999999"/>
    <s v="Sistema Antigo"/>
    <s v="Pago"/>
    <x v="65"/>
    <s v="9ª Tranche"/>
    <s v="4ª"/>
    <s v="MA"/>
    <s v="Liberações"/>
    <n v="0"/>
    <n v="0"/>
    <n v="0"/>
    <n v="0"/>
    <n v="0"/>
    <s v="LPT"/>
    <n v="0"/>
    <n v="0"/>
    <n v="0"/>
    <s v="Encerrado "/>
    <s v="09ª"/>
    <s v="EQUATORIAL"/>
    <s v="Eletrobras"/>
    <n v="0"/>
    <n v="0"/>
    <n v="0"/>
    <n v="0"/>
    <n v="0"/>
    <n v="0"/>
    <n v="0"/>
    <n v="0"/>
    <n v="0"/>
    <n v="0"/>
    <n v="0"/>
    <s v="-"/>
    <n v="0"/>
  </r>
  <r>
    <d v="2019-09-01T00:00:00"/>
    <s v="EQUATORIAL"/>
    <s v="EQUATORIAL MARANHÃO"/>
    <s v="CENTRAIS ELETRICAS BRASILEIRAS SA ELETROBRAS"/>
    <s v="00.001.180/0002-07"/>
    <s v="Programa Luz para Todos"/>
    <d v="2019-09-01T00:00:00"/>
    <n v="2607100.7999999998"/>
    <n v="2607100.7999999998"/>
    <n v="2607.1007999999997"/>
    <s v="Sistema Antigo"/>
    <s v="Pago"/>
    <x v="66"/>
    <s v="10ª Tranche"/>
    <s v="1ª"/>
    <s v="MA"/>
    <s v="Liberações"/>
    <n v="260709640"/>
    <n v="260709.64"/>
    <n v="182496740"/>
    <n v="182496.74"/>
    <n v="0.69999996931452169"/>
    <s v="LPT"/>
    <n v="-21811097.510000002"/>
    <n v="-21811.097510000003"/>
    <n v="-0.11951499796653903"/>
    <s v="Encerramento"/>
    <s v="10ª"/>
    <s v="EQUATORIAL"/>
    <s v="ENBPar"/>
    <n v="-0.219514997966539"/>
    <n v="-21811097.510000002"/>
    <n v="-21811.097510000003"/>
    <n v="-40060771.509999998"/>
    <n v="-40060.771509999999"/>
    <n v="227156030"/>
    <n v="227156.03"/>
    <n v="0.871"/>
    <n v="33553610"/>
    <n v="33553.61"/>
    <n v="0.129"/>
    <s v="Aguardando Consulta CONJUR"/>
    <n v="0.91739999999999999"/>
  </r>
  <r>
    <d v="2019-09-01T00:00:00"/>
    <s v="EQUATORIAL"/>
    <s v="EQUATORIAL MARANHÃO"/>
    <s v="EQUATORIAL MARANHAO DISTRIBUIDORA DE ENERGIA S.A"/>
    <s v="06.272.793/0001-84"/>
    <s v="Programa Luz para Todos"/>
    <d v="2019-09-01T00:00:00"/>
    <n v="33892311.200000003"/>
    <n v="33892311.200000003"/>
    <n v="33892.311200000004"/>
    <s v="Sistema Antigo"/>
    <s v="Pago"/>
    <x v="66"/>
    <s v="10ª Tranche"/>
    <s v="1ª"/>
    <s v="MA"/>
    <s v="Liberações"/>
    <n v="0"/>
    <n v="0"/>
    <n v="0"/>
    <n v="0"/>
    <n v="0"/>
    <s v="LPT"/>
    <n v="0"/>
    <n v="0"/>
    <n v="0"/>
    <s v="Encerramento"/>
    <s v="10ª"/>
    <s v="EQUATORIAL"/>
    <s v="ENBPar"/>
    <n v="0"/>
    <n v="0"/>
    <n v="0"/>
    <n v="0"/>
    <n v="0"/>
    <n v="0"/>
    <n v="0"/>
    <n v="0"/>
    <n v="0"/>
    <n v="0"/>
    <n v="0"/>
    <s v="-"/>
    <n v="0"/>
  </r>
  <r>
    <d v="2020-05-01T00:00:00"/>
    <s v="EQUATORIAL"/>
    <s v="EQUATORIAL MARANHÃO"/>
    <s v="EQUATORIAL MARANHAO DISTRIBUIDORA DE ENERGIA S.A"/>
    <s v="06.272.793/0001-84"/>
    <s v="Programa Luz para Todos"/>
    <d v="2020-05-01T00:00:00"/>
    <n v="36499412"/>
    <n v="36499412"/>
    <n v="36499.411999999997"/>
    <s v="Sistema Antigo"/>
    <s v="Pago"/>
    <x v="66"/>
    <s v="10ª Tranche"/>
    <s v="2ª"/>
    <s v="MA"/>
    <s v="Liberações"/>
    <n v="0"/>
    <n v="0"/>
    <n v="0"/>
    <n v="0"/>
    <n v="0"/>
    <s v="LPT"/>
    <n v="0"/>
    <n v="0"/>
    <n v="0"/>
    <s v="Encerramento"/>
    <s v="10ª"/>
    <s v="EQUATORIAL"/>
    <s v="ENBPar"/>
    <n v="0"/>
    <n v="0"/>
    <n v="0"/>
    <n v="0"/>
    <n v="0"/>
    <n v="0"/>
    <n v="0"/>
    <n v="0"/>
    <n v="0"/>
    <n v="0"/>
    <n v="0"/>
    <s v="-"/>
    <n v="0"/>
  </r>
  <r>
    <d v="2021-06-01T00:00:00"/>
    <s v="EQUATORIAL"/>
    <s v="EQUATORIAL MARANHÃO"/>
    <s v="EQUATORIAL MARANHAO DISTRIBUIDORA DE ENERGIA S.A"/>
    <s v="06.272.793/0001-84"/>
    <s v="Programa Luz para Todos"/>
    <d v="2021-06-01T00:00:00"/>
    <n v="36499220"/>
    <n v="36499220"/>
    <n v="36499.22"/>
    <d v="2021-06-30T00:00:00"/>
    <s v="Pago"/>
    <x v="66"/>
    <s v="10ª Tranche"/>
    <s v="3ª "/>
    <s v="MA"/>
    <s v="Liberações"/>
    <n v="0"/>
    <n v="0"/>
    <n v="0"/>
    <n v="0"/>
    <n v="0"/>
    <s v="LPT"/>
    <n v="0"/>
    <n v="0"/>
    <n v="0"/>
    <s v="Encerramento"/>
    <s v="10ª"/>
    <s v="EQUATORIAL"/>
    <s v="ENBPar"/>
    <n v="0"/>
    <n v="0"/>
    <n v="0"/>
    <n v="0"/>
    <n v="0"/>
    <n v="0"/>
    <n v="0"/>
    <n v="0"/>
    <n v="0"/>
    <n v="0"/>
    <n v="0"/>
    <s v="-"/>
    <n v="0"/>
  </r>
  <r>
    <d v="2022-05-01T00:00:00"/>
    <s v="EQUATORIAL"/>
    <s v="EQUATORIAL MARANHÃO"/>
    <s v="EQUATORIAL MARANHAO DISTRIBUIDORA DE ENERGIA S.A"/>
    <s v="06.272.793/0001-84"/>
    <s v="Programa Luz para Todos"/>
    <d v="2022-05-01T00:00:00"/>
    <n v="18249674"/>
    <n v="18249674"/>
    <n v="18249.673999999999"/>
    <d v="2022-05-11T00:00:00"/>
    <s v="Pago"/>
    <x v="66"/>
    <s v="10ª Tranche"/>
    <s v="4ª"/>
    <s v="MA"/>
    <s v="Liberações"/>
    <n v="0"/>
    <n v="0"/>
    <n v="0"/>
    <n v="0"/>
    <n v="0"/>
    <s v="LPT"/>
    <n v="0"/>
    <n v="0"/>
    <n v="0"/>
    <s v="Encerramento"/>
    <s v="10ª"/>
    <s v="EQUATORIAL"/>
    <s v="ENBPar"/>
    <n v="0"/>
    <n v="0"/>
    <n v="0"/>
    <n v="0"/>
    <n v="0"/>
    <n v="0"/>
    <n v="0"/>
    <n v="0"/>
    <n v="0"/>
    <n v="0"/>
    <n v="0"/>
    <s v="-"/>
    <n v="0"/>
  </r>
  <r>
    <d v="2022-12-01T00:00:00"/>
    <s v="EQUATORIAL"/>
    <s v="EQUATORIAL MARANHÃO"/>
    <s v="EQUATORIAL MARANHAO DISTRIBUIDORA DE ENERGIA S.A"/>
    <s v="06.272.793/0001-84"/>
    <s v="Programa Luz para Todos"/>
    <d v="2022-11-01T00:00:00"/>
    <n v="18249706"/>
    <n v="18249706"/>
    <n v="18249.705999999998"/>
    <d v="2022-12-02T00:00:00"/>
    <s v="Pago"/>
    <x v="66"/>
    <s v="10ª Tranche"/>
    <s v="5ª"/>
    <s v="MA"/>
    <s v="Liberações"/>
    <n v="0"/>
    <n v="0"/>
    <n v="0"/>
    <n v="0"/>
    <n v="0"/>
    <s v="LPT"/>
    <n v="0"/>
    <n v="0"/>
    <n v="0"/>
    <s v="Encerramento"/>
    <s v="10ª"/>
    <s v="EQUATORIAL"/>
    <s v="ENBPar"/>
    <n v="0"/>
    <n v="0"/>
    <n v="0"/>
    <n v="0"/>
    <n v="0"/>
    <n v="0"/>
    <n v="0"/>
    <n v="0"/>
    <n v="0"/>
    <n v="0"/>
    <n v="0"/>
    <s v="-"/>
    <n v="0"/>
  </r>
  <r>
    <d v="2023-05-01T00:00:00"/>
    <s v="EQUATORIAL"/>
    <s v="EQUATORIAL MARANHÃO"/>
    <s v="EQUATORIAL MARANHAO DISTRIBUIDORA DE ENERGIA S.A"/>
    <s v="06.272.793/0001-84"/>
    <s v="Programa Luz para Todos"/>
    <d v="2023-05-01T00:00:00"/>
    <n v="18249642"/>
    <n v="18249642"/>
    <n v="18249.642"/>
    <d v="2023-05-31T00:00:00"/>
    <s v="Pago"/>
    <x v="66"/>
    <s v="10ª Tranche"/>
    <s v="6ª"/>
    <s v="MA"/>
    <s v="Liberações"/>
    <n v="0"/>
    <n v="0"/>
    <n v="0"/>
    <n v="0"/>
    <n v="0"/>
    <s v="LPT"/>
    <n v="0"/>
    <n v="0"/>
    <n v="0"/>
    <s v="Encerramento"/>
    <s v="10ª"/>
    <s v="EQUATORIAL"/>
    <s v="ENBPar"/>
    <n v="0"/>
    <n v="0"/>
    <n v="0"/>
    <n v="0"/>
    <n v="0"/>
    <n v="0"/>
    <n v="0"/>
    <n v="0"/>
    <n v="0"/>
    <n v="0"/>
    <n v="0"/>
    <s v="-"/>
    <n v="0"/>
  </r>
  <r>
    <d v="2019-10-01T00:00:00"/>
    <s v="EQUATORIAL"/>
    <s v="EQUATORIAL PIAUI"/>
    <s v="CENTRAIS ELETRICAS BRASILEIRAS SA ELETROBRAS"/>
    <s v="00.001.180/0002-07"/>
    <s v="Programa Luz para Todos"/>
    <d v="2019-10-01T00:00:00"/>
    <n v="2353731.2000000002"/>
    <n v="2353731.2000000002"/>
    <n v="2353.7312000000002"/>
    <s v="Sistema Antigo"/>
    <s v="Pago"/>
    <x v="67"/>
    <s v="6ª Tranche"/>
    <s v="1ª"/>
    <s v="PI"/>
    <s v="Liberações"/>
    <n v="235373120"/>
    <n v="235373.12"/>
    <n v="164761180"/>
    <n v="164761.18"/>
    <n v="0.69999998300570598"/>
    <s v="LPT"/>
    <n v="-12831233.250000002"/>
    <n v="-12831.233250000001"/>
    <n v="-7.7877769812039477E-2"/>
    <s v="Encerrado "/>
    <s v="06ª"/>
    <s v="EQUATORIAL"/>
    <s v="Eletrobras"/>
    <n v="-7.7877769812039477E-2"/>
    <n v="-12831233.250000002"/>
    <n v="-12831.233250000001"/>
    <n v="0"/>
    <n v="0"/>
    <n v="0"/>
    <n v="0"/>
    <n v="0"/>
    <n v="0"/>
    <n v="0"/>
    <n v="0"/>
    <s v="-"/>
    <n v="0"/>
  </r>
  <r>
    <d v="2019-10-01T00:00:00"/>
    <s v="EQUATORIAL"/>
    <s v="EQUATORIAL PIAUI"/>
    <s v="EQUATORIAL PIAUI DISTRIBUIDORA DE ENERGIA S.A"/>
    <s v="06.840.748/0001-89"/>
    <s v="Programa Luz para Todos"/>
    <d v="2019-10-01T00:00:00"/>
    <n v="30598504.800000001"/>
    <n v="30598504.800000001"/>
    <n v="30598.504800000002"/>
    <s v="Sistema Antigo"/>
    <s v="Pago"/>
    <x v="67"/>
    <s v="6ª Tranche"/>
    <s v="1ª"/>
    <s v="PI"/>
    <s v="Liberações"/>
    <n v="0"/>
    <n v="0"/>
    <n v="0"/>
    <n v="0"/>
    <n v="0"/>
    <s v="LPT"/>
    <n v="0"/>
    <n v="0"/>
    <n v="0"/>
    <s v="Encerrado "/>
    <s v="06ª"/>
    <s v="EQUATORIAL"/>
    <s v="Eletrobras"/>
    <n v="0"/>
    <n v="0"/>
    <n v="0"/>
    <n v="0"/>
    <n v="0"/>
    <n v="0"/>
    <n v="0"/>
    <n v="0"/>
    <n v="0"/>
    <n v="0"/>
    <n v="0"/>
    <s v="-"/>
    <n v="0"/>
  </r>
  <r>
    <d v="2020-03-01T00:00:00"/>
    <s v="EQUATORIAL"/>
    <s v="EQUATORIAL PIAUI"/>
    <s v="EQUATORIAL PIAUI DISTRIBUIDORA DE ENERGIA S.A"/>
    <s v="06.840.748/0001-89"/>
    <s v="Programa Luz para Todos"/>
    <d v="2020-03-01T00:00:00"/>
    <n v="32952236"/>
    <n v="32952236"/>
    <n v="32952.235999999997"/>
    <s v="Sistema Antigo"/>
    <s v="Pago"/>
    <x v="67"/>
    <s v="6ª Tranche"/>
    <s v="2ª"/>
    <s v="PI"/>
    <s v="Liberações"/>
    <n v="0"/>
    <n v="0"/>
    <n v="0"/>
    <n v="0"/>
    <n v="0"/>
    <s v="LPT"/>
    <n v="0"/>
    <n v="0"/>
    <n v="0"/>
    <s v="Encerrado "/>
    <s v="06ª"/>
    <s v="EQUATORIAL"/>
    <s v="Eletrobras"/>
    <n v="0"/>
    <n v="0"/>
    <n v="0"/>
    <n v="0"/>
    <n v="0"/>
    <n v="0"/>
    <n v="0"/>
    <n v="0"/>
    <n v="0"/>
    <n v="0"/>
    <n v="0"/>
    <s v="-"/>
    <n v="0"/>
  </r>
  <r>
    <d v="2022-12-01T00:00:00"/>
    <s v="EQUATORIAL"/>
    <s v="EQUATORIAL PIAUI"/>
    <s v="EQUATORIAL PIAUI DISTRIBUIDORA DE ENERGIA S.A"/>
    <s v="06.840.748/0001-89"/>
    <s v="Programa Luz para Todos"/>
    <d v="2022-12-01T00:00:00"/>
    <n v="32952236"/>
    <n v="32952236"/>
    <n v="32952.235999999997"/>
    <d v="2022-12-29T00:00:00"/>
    <s v="Pago"/>
    <x v="67"/>
    <s v="6ª Tranche"/>
    <s v="3ª "/>
    <s v="PI"/>
    <s v="Liberações"/>
    <n v="0"/>
    <n v="0"/>
    <n v="0"/>
    <n v="0"/>
    <n v="0"/>
    <s v="LPT"/>
    <n v="0"/>
    <n v="0"/>
    <n v="0"/>
    <s v="Encerrado "/>
    <s v="06ª"/>
    <s v="EQUATORIAL"/>
    <s v="Eletrobras"/>
    <n v="0"/>
    <n v="0"/>
    <n v="0"/>
    <n v="0"/>
    <n v="0"/>
    <n v="0"/>
    <n v="0"/>
    <n v="0"/>
    <n v="0"/>
    <n v="0"/>
    <n v="0"/>
    <s v="-"/>
    <n v="0"/>
  </r>
  <r>
    <d v="2023-06-01T00:00:00"/>
    <s v="EQUATORIAL"/>
    <s v="EQUATORIAL PIAUI"/>
    <s v="EQUATORIAL PIAUI DISTRIBUIDORA DE ENERGIA S.A"/>
    <s v="06.840.748/0001-89"/>
    <s v="Programa Luz para Todos"/>
    <d v="2023-06-01T00:00:00"/>
    <n v="16476118"/>
    <n v="16476118"/>
    <n v="16476.117999999999"/>
    <d v="2023-06-23T00:00:00"/>
    <s v="Pago"/>
    <x v="67"/>
    <s v="6ª Tranche"/>
    <s v="4ª"/>
    <s v="PI"/>
    <s v="Liberações"/>
    <n v="0"/>
    <n v="0"/>
    <n v="0"/>
    <n v="0"/>
    <n v="0"/>
    <s v="LPT"/>
    <n v="0"/>
    <n v="0"/>
    <n v="0"/>
    <s v="Encerrado "/>
    <s v="06ª"/>
    <s v="EQUATORIAL"/>
    <s v="Eletrobras"/>
    <n v="0"/>
    <n v="0"/>
    <n v="0"/>
    <n v="0"/>
    <n v="0"/>
    <n v="0"/>
    <n v="0"/>
    <n v="0"/>
    <n v="0"/>
    <n v="0"/>
    <n v="0"/>
    <s v="-"/>
    <n v="0"/>
  </r>
  <r>
    <d v="2023-06-01T00:00:00"/>
    <s v="EQUATORIAL"/>
    <s v="EQUATORIAL PIAUI"/>
    <s v="EQUATORIAL PIAUI DISTRIBUIDORA DE ENERGIA S.A"/>
    <s v="06.840.748/0001-89"/>
    <s v="Programa Luz para Todos"/>
    <d v="2023-06-01T00:00:00"/>
    <n v="16476118"/>
    <n v="16476118"/>
    <n v="16476.117999999999"/>
    <d v="2023-06-23T00:00:00"/>
    <s v="Pago"/>
    <x v="67"/>
    <s v="6ª Tranche"/>
    <s v="5ª"/>
    <s v="PI"/>
    <s v="Liberações"/>
    <n v="0"/>
    <n v="0"/>
    <n v="0"/>
    <n v="0"/>
    <n v="0"/>
    <s v="LPT"/>
    <n v="0"/>
    <n v="0"/>
    <n v="0"/>
    <s v="Encerrado "/>
    <s v="06ª"/>
    <s v="EQUATORIAL"/>
    <s v="Eletrobras"/>
    <n v="0"/>
    <n v="0"/>
    <n v="0"/>
    <n v="0"/>
    <n v="0"/>
    <n v="0"/>
    <n v="0"/>
    <n v="0"/>
    <n v="0"/>
    <n v="0"/>
    <n v="0"/>
    <s v="-"/>
    <n v="0"/>
  </r>
  <r>
    <d v="2023-12-01T00:00:00"/>
    <s v="EQUATORIAL"/>
    <s v="EQUATORIAL PIAUI"/>
    <s v="EQUATORIAL PIAUI DISTRIBUIDORA DE ENERGIA S.A"/>
    <s v="06.840.748/0001-89"/>
    <s v="Programa Luz para Todos"/>
    <d v="2023-12-01T00:00:00"/>
    <n v="16476118"/>
    <n v="16476118"/>
    <n v="16476.117999999999"/>
    <d v="2023-12-14T00:00:00"/>
    <s v="Pago"/>
    <x v="67"/>
    <s v="6ª Tranche"/>
    <s v="6ª"/>
    <s v="PI"/>
    <s v="Liberações"/>
    <n v="0"/>
    <n v="0"/>
    <n v="0"/>
    <n v="0"/>
    <n v="0"/>
    <s v="LPT"/>
    <n v="0"/>
    <n v="0"/>
    <n v="0"/>
    <s v="Encerrado "/>
    <s v="06ª"/>
    <s v="EQUATORIAL"/>
    <s v="Eletrobras"/>
    <n v="0"/>
    <n v="0"/>
    <n v="0"/>
    <n v="0"/>
    <n v="0"/>
    <n v="0"/>
    <n v="0"/>
    <n v="0"/>
    <n v="0"/>
    <n v="0"/>
    <n v="0"/>
    <s v="-"/>
    <n v="0"/>
  </r>
  <r>
    <d v="2021-08-01T00:00:00"/>
    <s v="EQUATORIAL"/>
    <s v="EQUATORIAL GOIÁS"/>
    <s v="CENTRAIS ELETRICAS BRASILEIRAS SA ELETROBRAS"/>
    <s v="00.001.180/0002-07"/>
    <s v="Programa Luz para Todos"/>
    <d v="2021-08-01T00:00:00"/>
    <n v="82249961.989999995"/>
    <n v="82249961.989999995"/>
    <n v="82249.961989999996"/>
    <d v="2021-08-31T00:00:00"/>
    <s v="Pago"/>
    <x v="68"/>
    <s v="5ª Tranche"/>
    <s v="1ª"/>
    <s v="GO"/>
    <s v="Liberações"/>
    <n v="173904560"/>
    <n v="173904.56"/>
    <n v="104342730"/>
    <n v="104342.73"/>
    <n v="0.59999996549831702"/>
    <s v="LPT"/>
    <n v="0"/>
    <n v="0"/>
    <n v="0"/>
    <s v="Encerrado "/>
    <s v="05ª"/>
    <s v="EQUATORIAL"/>
    <s v="Eletrobras"/>
    <n v="0"/>
    <n v="0"/>
    <n v="0"/>
    <n v="0"/>
    <n v="0"/>
    <n v="0"/>
    <n v="0"/>
    <n v="0"/>
    <n v="0"/>
    <n v="0"/>
    <n v="0"/>
    <s v="-"/>
    <n v="0"/>
  </r>
  <r>
    <d v="2019-10-01T00:00:00"/>
    <s v="NEOENERGIA "/>
    <s v="COELBA"/>
    <s v="CENTRAIS ELETRICAS BRASILEIRAS SA ELETROBRAS"/>
    <s v="00.001.180/0002-07"/>
    <s v="Programa Luz para Todos"/>
    <d v="2019-10-01T00:00:00"/>
    <n v="615954798"/>
    <n v="615954798"/>
    <n v="615954.79799999995"/>
    <s v="Sistema Antigo"/>
    <s v="Pago"/>
    <x v="69"/>
    <s v="10ª Tranche"/>
    <s v="1ª"/>
    <s v="BA"/>
    <s v="Liberações"/>
    <n v="1052914190"/>
    <n v="1052914.19"/>
    <n v="684394220"/>
    <n v="684394.22"/>
    <n v="0.64999999667589248"/>
    <s v="LPT"/>
    <n v="-67716755.690000013"/>
    <n v="-67716.755690000005"/>
    <n v="-9.8944078881905248E-2"/>
    <s v="Encerrado "/>
    <s v="10ª"/>
    <s v="NEOENERGIA "/>
    <s v="Eletrobras"/>
    <n v="-9.8944078881905248E-2"/>
    <n v="-67716755.690000013"/>
    <n v="-67716.755690000005"/>
    <n v="0"/>
    <n v="0"/>
    <n v="0"/>
    <n v="0"/>
    <n v="0"/>
    <n v="0"/>
    <n v="0"/>
    <n v="0"/>
    <s v="-"/>
    <n v="0"/>
  </r>
  <r>
    <d v="2020-08-01T00:00:00"/>
    <s v="RORAIMA ENERGIA"/>
    <s v="RORAIMA ENERGIA"/>
    <s v="CENTRAIS ELETRICAS BRASILEIRAS SA ELETROBRAS"/>
    <s v="00.001.180/0002-07"/>
    <s v="Programa Luz para Todos"/>
    <d v="2020-08-01T00:00:00"/>
    <n v="1046376.5"/>
    <n v="1046376.5"/>
    <n v="1046.3765000000001"/>
    <d v="2020-08-01T00:00:00"/>
    <s v="Pago"/>
    <x v="70"/>
    <s v="5ª Tranche"/>
    <s v="1ª"/>
    <s v="RR"/>
    <s v="Liberações"/>
    <n v="104637330"/>
    <n v="104637.33"/>
    <n v="94173600"/>
    <n v="94173.6"/>
    <n v="0.90000002867045636"/>
    <s v="LPT"/>
    <n v="-13307169.15"/>
    <n v="-13307.16915"/>
    <n v="-0.14130466659445959"/>
    <s v="Encerramento"/>
    <s v="05ª"/>
    <s v="RORAIMA ENERGIA"/>
    <s v="ENBPar"/>
    <n v="-0.2413047303065827"/>
    <n v="-13307269.15"/>
    <n v="-13307.26915"/>
    <n v="-22724535.149999995"/>
    <n v="-22724.535149999996"/>
    <n v="95124890"/>
    <n v="95124.89"/>
    <n v="0.90900000000000003"/>
    <n v="9512440"/>
    <n v="9512.44"/>
    <n v="9.0999999999999998E-2"/>
    <s v="Falta Aprovação da Diretoria"/>
    <n v="0.82679999999999998"/>
  </r>
  <r>
    <d v="2020-08-01T00:00:00"/>
    <s v="RORAIMA ENERGIA"/>
    <s v="RORAIMA ENERGIA"/>
    <s v="RORAIMA ENERGIA S.A"/>
    <s v="02.341.470/0001-44"/>
    <s v="Programa Luz para Todos"/>
    <d v="2020-08-01T00:00:00"/>
    <n v="17788401.5"/>
    <n v="17788401.5"/>
    <n v="17788.4015"/>
    <d v="2020-08-01T00:00:00"/>
    <s v="Pago"/>
    <x v="70"/>
    <s v="5ª Tranche"/>
    <s v="1ª"/>
    <s v="RR"/>
    <s v="Liberações"/>
    <n v="0"/>
    <n v="0"/>
    <n v="0"/>
    <n v="0"/>
    <n v="0"/>
    <s v="LPT"/>
    <n v="0"/>
    <n v="0"/>
    <n v="0"/>
    <s v="Encerramento"/>
    <s v="05ª"/>
    <s v="RORAIMA ENERGIA"/>
    <s v="ENBPar"/>
    <n v="0"/>
    <n v="0"/>
    <n v="0"/>
    <n v="0"/>
    <n v="0"/>
    <n v="0"/>
    <n v="0"/>
    <n v="0"/>
    <n v="0"/>
    <n v="0"/>
    <n v="0"/>
    <s v="-"/>
    <n v="0"/>
  </r>
  <r>
    <d v="2022-03-01T00:00:00"/>
    <s v="RORAIMA ENERGIA"/>
    <s v="RORAIMA ENERGIA"/>
    <s v="RORAIMA ENERGIA S.A"/>
    <s v="02.341.470/0001-44"/>
    <s v="Programa Luz para Todos"/>
    <d v="2022-03-01T00:00:00"/>
    <n v="18834778"/>
    <n v="18834778"/>
    <n v="18834.777999999998"/>
    <d v="2022-03-25T00:00:00"/>
    <s v="Pago"/>
    <x v="70"/>
    <s v="5ª Tranche"/>
    <s v="2ª"/>
    <s v="RR"/>
    <s v="Liberações"/>
    <n v="0"/>
    <n v="0"/>
    <n v="0"/>
    <n v="0"/>
    <n v="0"/>
    <s v="LPT"/>
    <n v="0"/>
    <n v="0"/>
    <n v="0"/>
    <s v="Encerramento"/>
    <s v="05ª"/>
    <s v="RORAIMA ENERGIA"/>
    <s v="ENBPar"/>
    <n v="0"/>
    <n v="0"/>
    <n v="0"/>
    <n v="0"/>
    <n v="0"/>
    <n v="0"/>
    <n v="0"/>
    <n v="0"/>
    <n v="0"/>
    <n v="0"/>
    <n v="0"/>
    <s v="-"/>
    <n v="0"/>
  </r>
  <r>
    <d v="2022-10-01T00:00:00"/>
    <s v="RORAIMA ENERGIA"/>
    <s v="RORAIMA ENERGIA"/>
    <s v="RORAIMA ENERGIA S.A"/>
    <s v="02.341.470/0001-44"/>
    <s v="Programa Luz para Todos"/>
    <d v="2022-10-01T00:00:00"/>
    <n v="18834778"/>
    <n v="18834778"/>
    <n v="18834.777999999998"/>
    <d v="2022-10-18T00:00:00"/>
    <s v="Pago"/>
    <x v="70"/>
    <s v="5ª Tranche"/>
    <s v="3ª "/>
    <s v="RR"/>
    <s v="Liberações"/>
    <n v="0"/>
    <n v="0"/>
    <n v="0"/>
    <n v="0"/>
    <n v="0"/>
    <s v="LPT"/>
    <n v="0"/>
    <n v="0"/>
    <n v="0"/>
    <s v="Encerramento"/>
    <s v="05ª"/>
    <s v="RORAIMA ENERGIA"/>
    <s v="ENBPar"/>
    <n v="0"/>
    <n v="0"/>
    <n v="0"/>
    <n v="0"/>
    <n v="0"/>
    <n v="0"/>
    <n v="0"/>
    <n v="0"/>
    <n v="0"/>
    <n v="0"/>
    <n v="0"/>
    <s v="-"/>
    <n v="0"/>
  </r>
  <r>
    <d v="2023-04-01T00:00:00"/>
    <s v="RORAIMA ENERGIA"/>
    <s v="RORAIMA ENERGIA"/>
    <s v="RORAIMA ENERGIA S.A"/>
    <s v="02.341.470/0001-44"/>
    <s v="Programa Luz para Todos"/>
    <d v="2023-04-01T00:00:00"/>
    <n v="9417270"/>
    <n v="9417270"/>
    <n v="9417.27"/>
    <d v="2023-04-20T00:00:00"/>
    <s v="Pago"/>
    <x v="70"/>
    <s v="5ª Tranche"/>
    <s v="4ª"/>
    <s v="RR"/>
    <s v="Liberações"/>
    <n v="0"/>
    <n v="0"/>
    <n v="0"/>
    <n v="0"/>
    <n v="0"/>
    <s v="LPT"/>
    <n v="0"/>
    <n v="0"/>
    <n v="0"/>
    <s v="Encerramento"/>
    <s v="05ª"/>
    <s v="RORAIMA ENERGIA"/>
    <s v="ENBPar"/>
    <n v="0"/>
    <n v="0"/>
    <n v="0"/>
    <n v="0"/>
    <n v="0"/>
    <n v="0"/>
    <n v="0"/>
    <n v="0"/>
    <n v="0"/>
    <n v="0"/>
    <n v="0"/>
    <s v="-"/>
    <n v="0"/>
  </r>
  <r>
    <d v="2025-01-01T00:00:00"/>
    <s v="RORAIMA ENERGIA"/>
    <s v="RORAIMA ENERGIA"/>
    <s v="RORAIMA ENERGIA S.A"/>
    <s v="02.341.470/0001-44"/>
    <s v="Programa Luz para Todos"/>
    <d v="2025-01-01T00:00:00"/>
    <n v="9417360"/>
    <n v="9417360"/>
    <n v="9417.36"/>
    <d v="2025-01-24T00:00:00"/>
    <s v="Pago"/>
    <x v="70"/>
    <s v="5ª Tranche"/>
    <s v="6ª"/>
    <s v="RR"/>
    <s v="Liberações"/>
    <n v="0"/>
    <n v="0"/>
    <n v="0"/>
    <n v="0"/>
    <n v="0"/>
    <s v="LPT"/>
    <n v="0"/>
    <n v="0"/>
    <n v="0"/>
    <s v="Encerramento"/>
    <s v="05ª"/>
    <s v="RORAIMA ENERGIA"/>
    <s v="ENBPar"/>
    <n v="0"/>
    <n v="0"/>
    <n v="0"/>
    <n v="0"/>
    <n v="0"/>
    <n v="0"/>
    <n v="0"/>
    <n v="0"/>
    <n v="0"/>
    <n v="0"/>
    <n v="0"/>
    <s v="-"/>
    <n v="0"/>
  </r>
  <r>
    <d v="2023-12-01T00:00:00"/>
    <s v="RORAIMA ENERGIA"/>
    <s v="RORAIMA ENERGIA"/>
    <s v="RORAIMA ENERGIA S.A"/>
    <s v="02.341.470/0001-44"/>
    <s v="Programa Luz para Todos"/>
    <d v="2023-12-01T00:00:00"/>
    <n v="9417270"/>
    <n v="9417270"/>
    <n v="9417.27"/>
    <d v="2023-12-14T00:00:00"/>
    <s v="Pago"/>
    <x v="70"/>
    <s v="5ª Tranche"/>
    <s v="5ª"/>
    <s v="RR"/>
    <s v="Liberações"/>
    <n v="0"/>
    <n v="0"/>
    <n v="0"/>
    <n v="0"/>
    <n v="0"/>
    <s v="LPT"/>
    <n v="0"/>
    <n v="0"/>
    <n v="0"/>
    <s v="Encerramento"/>
    <s v="05ª"/>
    <s v="RORAIMA ENERGIA"/>
    <s v="ENBPar"/>
    <n v="0"/>
    <n v="0"/>
    <n v="0"/>
    <n v="0"/>
    <n v="0"/>
    <n v="0"/>
    <n v="0"/>
    <n v="0"/>
    <n v="0"/>
    <n v="0"/>
    <n v="0"/>
    <s v="-"/>
    <n v="0"/>
  </r>
  <r>
    <d v="2020-11-01T00:00:00"/>
    <s v="ENERGISA"/>
    <s v="ENERGISA AC"/>
    <s v="CENTRAIS ELETRICAS BRASILEIRAS SA ELETROBRAS"/>
    <s v="00.001.180/0002-07"/>
    <s v="Programa Luz para Todos"/>
    <d v="2020-11-01T00:00:00"/>
    <n v="461943"/>
    <n v="461943"/>
    <n v="461.94299999999998"/>
    <d v="2020-11-19T00:00:00"/>
    <s v="Pago"/>
    <x v="71"/>
    <s v="7ª Tranche"/>
    <s v="1ª"/>
    <s v="AC"/>
    <s v="Liberações"/>
    <n v="46164300"/>
    <n v="46164.3"/>
    <n v="41574870"/>
    <n v="41574.870000000003"/>
    <n v="0.7000000017718202"/>
    <s v="LPT"/>
    <n v="-7661275.9000000004"/>
    <n v="-7661.2759000000005"/>
    <n v="-0.16189999992784104"/>
    <s v="Encerrado"/>
    <s v="07ª"/>
    <s v="ENERGISA"/>
    <s v="ENBPar"/>
    <n v="-0.26189999992784108"/>
    <n v="-6730971.4500000002"/>
    <n v="-6730.97145"/>
    <n v="-10888458.450000003"/>
    <n v="-10888.458450000004"/>
    <n v="41995080"/>
    <n v="41995.08"/>
    <n v="0.90900000000000003"/>
    <n v="4199220"/>
    <n v="4199.22"/>
    <n v="9.0999999999999998E-2"/>
    <s v="-"/>
    <n v="0.91379999999999995"/>
  </r>
  <r>
    <d v="2020-11-01T00:00:00"/>
    <s v="ENERGISA"/>
    <s v="ENERGISA AC"/>
    <s v="ENERGISA ACRE - DISTRIBUIDORA DE ENERGIA S.A"/>
    <s v="04.065.033/0001-70"/>
    <s v="Programa Luz para Todos"/>
    <d v="2020-11-01T00:00:00"/>
    <n v="7853031"/>
    <n v="7853031"/>
    <n v="7853.0309999999999"/>
    <d v="2020-11-19T00:00:00"/>
    <s v="Pago"/>
    <x v="71"/>
    <s v="7ª Tranche"/>
    <s v="1ª"/>
    <s v="AC"/>
    <s v="Liberações"/>
    <n v="0"/>
    <n v="0"/>
    <n v="0"/>
    <n v="0"/>
    <n v="0"/>
    <s v="LPT"/>
    <n v="0"/>
    <n v="0"/>
    <n v="0"/>
    <s v="Encerrado"/>
    <s v="07ª"/>
    <s v="ENERGISA"/>
    <s v="ENBPar"/>
    <n v="0"/>
    <n v="0"/>
    <n v="0"/>
    <n v="0"/>
    <n v="0"/>
    <n v="0"/>
    <n v="0"/>
    <n v="0"/>
    <n v="0"/>
    <n v="0"/>
    <n v="0"/>
    <s v="-"/>
    <n v="0"/>
  </r>
  <r>
    <d v="2023-01-01T00:00:00"/>
    <s v="ENERGISA"/>
    <s v="ENERGISA AC"/>
    <s v="ENERGISA ACRE - DISTRIBUIDORA DE ENERGIA S.A"/>
    <s v="04.065.033/0001-70"/>
    <s v="Programa Luz para Todos"/>
    <d v="2023-01-01T00:00:00"/>
    <n v="8314974"/>
    <n v="8314974"/>
    <n v="8314.9740000000002"/>
    <d v="2023-01-20T00:00:00"/>
    <s v="Pago"/>
    <x v="71"/>
    <s v="7ª Tranche"/>
    <s v="2ª "/>
    <s v="AC"/>
    <s v="Liberações"/>
    <n v="0"/>
    <n v="0"/>
    <n v="0"/>
    <n v="0"/>
    <n v="0"/>
    <s v="LPT"/>
    <n v="0"/>
    <n v="0"/>
    <n v="0"/>
    <s v="Encerrado"/>
    <s v="07ª"/>
    <s v="ENERGISA"/>
    <s v="ENBPar"/>
    <n v="0"/>
    <n v="0"/>
    <n v="0"/>
    <n v="0"/>
    <n v="0"/>
    <n v="0"/>
    <n v="0"/>
    <n v="0"/>
    <n v="0"/>
    <n v="0"/>
    <n v="0"/>
    <s v="-"/>
    <n v="0"/>
  </r>
  <r>
    <d v="2023-06-01T00:00:00"/>
    <s v="ENERGISA"/>
    <s v="ENERGISA AC"/>
    <s v="ENERGISA ACRE - DISTRIBUIDORA DE ENERGIA S.A"/>
    <s v="04.065.033/0001-70"/>
    <s v="Programa Luz para Todos"/>
    <d v="2023-06-01T00:00:00"/>
    <n v="8314974"/>
    <n v="8314974"/>
    <n v="8314.9740000000002"/>
    <d v="2023-06-23T00:00:00"/>
    <s v="Pago"/>
    <x v="71"/>
    <s v="7ª Tranche"/>
    <s v="3ª"/>
    <s v="AC"/>
    <s v="Liberações"/>
    <n v="0"/>
    <n v="0"/>
    <n v="0"/>
    <n v="0"/>
    <n v="0"/>
    <s v="LPT"/>
    <n v="0"/>
    <n v="0"/>
    <n v="0"/>
    <s v="Encerrado"/>
    <s v="07ª"/>
    <s v="ENERGISA"/>
    <s v="ENBPar"/>
    <n v="0"/>
    <n v="0"/>
    <n v="0"/>
    <n v="0"/>
    <n v="0"/>
    <n v="0"/>
    <n v="0"/>
    <n v="0"/>
    <n v="0"/>
    <n v="0"/>
    <n v="0"/>
    <s v="-"/>
    <n v="0"/>
  </r>
  <r>
    <d v="2023-09-01T00:00:00"/>
    <s v="ENERGISA"/>
    <s v="ENERGISA AC"/>
    <s v="ENERGISA ACRE - DISTRIBUIDORA DE ENERGIA S.A"/>
    <s v="04.065.033/0001-70"/>
    <s v="Programa Luz para Todos"/>
    <d v="2023-08-06T00:00:00"/>
    <n v="4157487"/>
    <n v="4157487"/>
    <n v="4157.4870000000001"/>
    <d v="2023-09-06T00:00:00"/>
    <s v="Pago"/>
    <x v="71"/>
    <s v="7ª Tranche"/>
    <s v="4ª"/>
    <s v="AC"/>
    <s v="Liberações"/>
    <n v="0"/>
    <n v="0"/>
    <n v="0"/>
    <n v="0"/>
    <n v="0"/>
    <s v="LPT"/>
    <n v="0"/>
    <n v="0"/>
    <n v="0"/>
    <s v="Encerrado"/>
    <s v="07ª"/>
    <s v="ENERGISA"/>
    <s v="ENBPar"/>
    <n v="0"/>
    <n v="0"/>
    <n v="0"/>
    <n v="0"/>
    <n v="0"/>
    <n v="0"/>
    <n v="0"/>
    <n v="0"/>
    <n v="0"/>
    <n v="0"/>
    <n v="0"/>
    <s v="-"/>
    <n v="0"/>
  </r>
  <r>
    <d v="2023-09-01T00:00:00"/>
    <s v="ENERGISA"/>
    <s v="ENERGISA AC"/>
    <s v="ENERGISA ACRE - DISTRIBUIDORA DE ENERGIA S.A"/>
    <s v="04.065.033/0001-70"/>
    <s v="Programa Luz para Todos"/>
    <d v="2023-08-06T00:00:00"/>
    <n v="4157487"/>
    <n v="4157487"/>
    <n v="4157.4870000000001"/>
    <d v="2023-09-06T00:00:00"/>
    <s v="Pago"/>
    <x v="71"/>
    <s v="7ª Tranche"/>
    <s v="5ª"/>
    <s v="AC"/>
    <s v="Liberações"/>
    <n v="0"/>
    <n v="0"/>
    <n v="0"/>
    <n v="0"/>
    <n v="0"/>
    <s v="LPT"/>
    <n v="0"/>
    <n v="0"/>
    <n v="0"/>
    <s v="Encerrado"/>
    <s v="07ª"/>
    <s v="ENERGISA"/>
    <s v="ENBPar"/>
    <n v="0"/>
    <n v="0"/>
    <n v="0"/>
    <n v="0"/>
    <n v="0"/>
    <n v="0"/>
    <n v="0"/>
    <n v="0"/>
    <n v="0"/>
    <n v="0"/>
    <n v="0"/>
    <s v="-"/>
    <n v="0"/>
  </r>
  <r>
    <d v="2023-09-01T00:00:00"/>
    <s v="ENERGISA"/>
    <s v="ENERGISA AC"/>
    <s v="ENERGISA ACRE - DISTRIBUIDORA DE ENERGIA S.A"/>
    <s v="04.065.033/0001-70"/>
    <s v="Programa Luz para Todos"/>
    <d v="2023-08-06T00:00:00"/>
    <n v="4157487"/>
    <n v="4157487"/>
    <n v="4157.4870000000001"/>
    <d v="2023-09-06T00:00:00"/>
    <s v="Pago"/>
    <x v="71"/>
    <s v="7ª Tranche"/>
    <s v="6ª"/>
    <s v="AC"/>
    <s v="Liberações"/>
    <n v="0"/>
    <n v="0"/>
    <n v="0"/>
    <n v="0"/>
    <n v="0"/>
    <s v="LPT"/>
    <n v="0"/>
    <n v="0"/>
    <n v="0"/>
    <s v="Encerrado"/>
    <s v="07ª"/>
    <s v="ENERGISA"/>
    <s v="ENBPar"/>
    <n v="0"/>
    <n v="0"/>
    <n v="0"/>
    <n v="0"/>
    <n v="0"/>
    <n v="0"/>
    <n v="0"/>
    <n v="0"/>
    <n v="0"/>
    <n v="0"/>
    <n v="0"/>
    <s v="-"/>
    <n v="0"/>
  </r>
  <r>
    <d v="2020-12-01T00:00:00"/>
    <s v="EQUATORIAL"/>
    <s v="EQUATORIAL PARÁ"/>
    <s v="CENTRAIS ELETRICAS BRASILEIRAS SA ELETROBRAS"/>
    <s v="00.001.180/0002-07"/>
    <s v="Programa Luz para Todos"/>
    <d v="2020-12-01T00:00:00"/>
    <n v="355839579"/>
    <n v="355839579"/>
    <n v="355839.57900000003"/>
    <d v="2020-12-21T00:00:00"/>
    <s v="Pago"/>
    <x v="72"/>
    <s v="7ª Tranche"/>
    <s v="1ª"/>
    <s v="PA"/>
    <s v="Liberações"/>
    <n v="564391370"/>
    <n v="564391.37"/>
    <n v="395073960"/>
    <n v="395073.96"/>
    <n v="0.7"/>
    <s v="LPT"/>
    <n v="0"/>
    <n v="0"/>
    <n v="0"/>
    <s v="Encerramento"/>
    <s v="07ª"/>
    <s v="EQUATORIAL"/>
    <s v="ENBPar"/>
    <n v="0"/>
    <n v="0"/>
    <n v="0"/>
    <n v="0"/>
    <n v="0"/>
    <n v="495270440"/>
    <n v="495270.44"/>
    <n v="0.877"/>
    <n v="69554290"/>
    <n v="69554.289999999994"/>
    <n v="0.123"/>
    <s v="Aguardando a IF "/>
    <n v="0.93920000000000003"/>
  </r>
  <r>
    <d v="2021-09-01T00:00:00"/>
    <s v="ENERGISA"/>
    <s v="ENERGISA MS"/>
    <s v="CENTRAIS ELETRICAS BRASILEIRAS SA ELETROBRAS"/>
    <s v="00.001.180/0002-07"/>
    <s v="Programa Luz para Todos"/>
    <d v="2021-09-01T00:00:00"/>
    <n v="68676120"/>
    <n v="68676120"/>
    <n v="68676.12"/>
    <d v="2021-09-09T00:00:00"/>
    <s v="Pago"/>
    <x v="73"/>
    <s v="6ª Tranche"/>
    <s v="1ª"/>
    <s v="MS"/>
    <s v="Liberações"/>
    <n v="127178000"/>
    <n v="127178"/>
    <n v="76306800"/>
    <n v="76306.8"/>
    <n v="0.6"/>
    <s v="LPT"/>
    <n v="-7018141.7799999993"/>
    <n v="-7018.141779999999"/>
    <n v="-9.1972691555667382E-2"/>
    <s v="Encerrado "/>
    <s v="06ª"/>
    <s v="ENERGISA"/>
    <s v="Eletrobras"/>
    <n v="-9.1972691555667382E-2"/>
    <n v="-7018141.7799999993"/>
    <n v="-7018.141779999999"/>
    <n v="0"/>
    <n v="0"/>
    <n v="0"/>
    <n v="0"/>
    <n v="0"/>
    <n v="0"/>
    <n v="0"/>
    <n v="0"/>
    <s v="-"/>
    <n v="0"/>
  </r>
  <r>
    <d v="2022-05-01T00:00:00"/>
    <s v="ENERGISA"/>
    <s v="ENERGISA RO"/>
    <s v="CENTRAIS ELETRICAS BRASILEIRAS SA ELETROBRAS"/>
    <s v="00.001.180/0002-07"/>
    <s v="Programa Luz para Todos"/>
    <d v="2022-05-01T00:00:00"/>
    <n v="1657234"/>
    <n v="1657234"/>
    <n v="1657.2339999999999"/>
    <d v="2022-05-16T00:00:00"/>
    <s v="Pago"/>
    <x v="74"/>
    <s v="7ª Tranche"/>
    <s v="1ª"/>
    <s v="RO"/>
    <s v="Liberações"/>
    <n v="165723400"/>
    <n v="165723.4"/>
    <n v="149151060"/>
    <n v="149151.06"/>
    <n v="0.9"/>
    <s v="LPT"/>
    <n v="-27939141.27"/>
    <n v="-27939.14127"/>
    <n v="-0.1645748074468931"/>
    <s v="Encerrado"/>
    <s v="07ª"/>
    <s v="ENERGISA"/>
    <s v="ENBPar"/>
    <n v="-0.46457480744689317"/>
    <n v="-24546506.98"/>
    <n v="-24546.506980000002"/>
    <n v="-69291824.980000004"/>
    <n v="-69291.824980000005"/>
    <n v="151071370"/>
    <n v="151071.37"/>
    <n v="0.91200000000000003"/>
    <n v="14652030"/>
    <n v="14652.03"/>
    <n v="8.7999999999999995E-2"/>
    <s v="-"/>
    <n v="0.76080000000000003"/>
  </r>
  <r>
    <d v="2022-05-01T00:00:00"/>
    <s v="ENERGISA"/>
    <s v="ENERGISA RO"/>
    <s v="ENERGISA RONDONIA - DISTRIBUIDORA DE ENERGIA S.A"/>
    <s v="05.914.650/0001-66"/>
    <s v="Programa Luz para Todos"/>
    <d v="2022-05-01T00:00:00"/>
    <n v="28172978"/>
    <n v="28172978"/>
    <n v="28172.977999999999"/>
    <d v="2022-05-16T00:00:00"/>
    <s v="Pago"/>
    <x v="74"/>
    <s v="7ª Tranche"/>
    <s v="1ª"/>
    <s v="RO"/>
    <s v="Liberações"/>
    <n v="0"/>
    <n v="0"/>
    <n v="0"/>
    <n v="0"/>
    <n v="0"/>
    <s v="LPT"/>
    <n v="0"/>
    <n v="0"/>
    <n v="0"/>
    <s v="Encerrado"/>
    <s v="07ª"/>
    <s v="ENERGISA"/>
    <s v="ENBPar"/>
    <n v="0"/>
    <n v="0"/>
    <n v="0"/>
    <n v="0"/>
    <n v="0"/>
    <n v="0"/>
    <n v="0"/>
    <n v="0"/>
    <n v="0"/>
    <n v="0"/>
    <n v="0"/>
    <s v="-"/>
    <n v="0"/>
  </r>
  <r>
    <d v="2022-10-01T00:00:00"/>
    <s v="ENERGISA"/>
    <s v="ENERGISA RO"/>
    <s v="ENERGISA RONDONIA - DISTRIBUIDORA DE ENERGIA S.A"/>
    <s v="05.914.650/0001-66"/>
    <s v="Programa Luz para Todos"/>
    <d v="2022-09-01T00:00:00"/>
    <n v="29830212"/>
    <n v="29830212"/>
    <n v="29830.212"/>
    <d v="2022-10-07T00:00:00"/>
    <s v="Pago"/>
    <x v="74"/>
    <s v="7ª Tranche"/>
    <s v="2ª"/>
    <s v="RO"/>
    <s v="Liberações"/>
    <n v="0"/>
    <n v="0"/>
    <n v="0"/>
    <n v="0"/>
    <n v="0"/>
    <s v="LPT"/>
    <n v="0"/>
    <n v="0"/>
    <n v="0"/>
    <s v="Encerrado"/>
    <s v="07ª"/>
    <s v="ENERGISA"/>
    <s v="ENBPar"/>
    <n v="0"/>
    <n v="0"/>
    <n v="0"/>
    <n v="0"/>
    <n v="0"/>
    <n v="0"/>
    <n v="0"/>
    <n v="0"/>
    <n v="0"/>
    <n v="0"/>
    <n v="0"/>
    <s v="-"/>
    <n v="0"/>
  </r>
  <r>
    <d v="2023-09-01T00:00:00"/>
    <s v="ENERGISA"/>
    <s v="ENERGISA RO"/>
    <s v="ENERGISA RONDONIA - DISTRIBUIDORA DE ENERGIA S.A"/>
    <s v="05.914.650/0001-66"/>
    <s v="Programa Luz para Todos"/>
    <d v="2023-09-06T00:00:00"/>
    <n v="22372659"/>
    <n v="22372659"/>
    <n v="22372.659"/>
    <d v="2023-09-29T00:00:00"/>
    <s v="Pago"/>
    <x v="74"/>
    <s v="7ª Tranche"/>
    <s v="3ª"/>
    <s v="RO"/>
    <s v="Liberações"/>
    <n v="0"/>
    <n v="0"/>
    <n v="0"/>
    <n v="0"/>
    <n v="0"/>
    <s v="LPT"/>
    <n v="0"/>
    <n v="0"/>
    <n v="0"/>
    <s v="Encerrado"/>
    <s v="07ª"/>
    <s v="ENERGISA"/>
    <s v="ENBPar"/>
    <n v="0"/>
    <n v="0"/>
    <n v="0"/>
    <n v="0"/>
    <n v="0"/>
    <n v="0"/>
    <n v="0"/>
    <n v="0"/>
    <n v="0"/>
    <n v="0"/>
    <n v="0"/>
    <s v="-"/>
    <n v="0"/>
  </r>
  <r>
    <d v="2023-09-01T00:00:00"/>
    <s v="ENERGISA"/>
    <s v="ENERGISA RO"/>
    <s v="ENERGISA RONDONIA - DISTRIBUIDORA DE ENERGIA S.A"/>
    <s v="05.914.650/0001-66"/>
    <s v="Programa Luz para Todos"/>
    <d v="2023-09-06T00:00:00"/>
    <n v="22372659"/>
    <n v="22372659"/>
    <n v="22372.659"/>
    <d v="2023-09-29T00:00:00"/>
    <s v="Pago"/>
    <x v="74"/>
    <s v="7ª Tranche"/>
    <s v="4ª"/>
    <s v="RO"/>
    <s v="Liberações"/>
    <n v="0"/>
    <n v="0"/>
    <n v="0"/>
    <n v="0"/>
    <n v="0"/>
    <s v="LPT"/>
    <n v="0"/>
    <n v="0"/>
    <n v="0"/>
    <s v="Encerrado"/>
    <s v="07ª"/>
    <s v="ENERGISA"/>
    <s v="ENBPar"/>
    <n v="0"/>
    <n v="0"/>
    <n v="0"/>
    <n v="0"/>
    <n v="0"/>
    <n v="0"/>
    <n v="0"/>
    <n v="0"/>
    <n v="0"/>
    <n v="0"/>
    <n v="0"/>
    <s v="-"/>
    <n v="0"/>
  </r>
  <r>
    <d v="2022-12-01T00:00:00"/>
    <s v="EQUATORIAL"/>
    <s v="EQUATORIAL MARANHÃO"/>
    <s v="CENTRAIS ELETRICAS BRASILEIRAS SA ELETROBRAS"/>
    <s v="00.001.180/0002-07"/>
    <s v="Programa Luz para Todos"/>
    <d v="2022-12-01T00:00:00"/>
    <n v="166515.4"/>
    <n v="166515.4"/>
    <n v="166.5154"/>
    <d v="2022-12-29T00:00:00"/>
    <s v="Pago"/>
    <x v="75"/>
    <s v="11ª Tranche"/>
    <s v="1ª"/>
    <s v="MA"/>
    <s v="Liberações"/>
    <n v="13302070"/>
    <n v="13302.07"/>
    <n v="9311450"/>
    <n v="9311.4500000000007"/>
    <n v="0.70000007517626961"/>
    <s v="LPT"/>
    <n v="-2504378.4300000002"/>
    <n v="-2504.3784300000002"/>
    <n v="-1"/>
    <s v="Encerrado"/>
    <s v="11ª"/>
    <s v="EQUATORIAL"/>
    <s v="ENBPar"/>
    <n v="-1"/>
    <n v="-2331216"/>
    <n v="-2331.2159999999999"/>
    <n v="-9311450"/>
    <n v="-9311.4500000000007"/>
    <n v="11666170"/>
    <n v="11666.17"/>
    <n v="0.877"/>
    <n v="1635900"/>
    <n v="1635.9"/>
    <n v="0.123"/>
    <s v="-"/>
    <n v="0.99639999999999995"/>
  </r>
  <r>
    <d v="2022-12-01T00:00:00"/>
    <s v="EQUATORIAL"/>
    <s v="EQUATORIAL MARANHÃO"/>
    <s v="EQUATORIAL MARANHAO DISTRIBUIDORA DE ENERGIA S.A"/>
    <s v="06.272.793/0001-84"/>
    <s v="Programa Luz para Todos"/>
    <d v="2022-12-01T00:00:00"/>
    <n v="2164700.6"/>
    <n v="2164700.6"/>
    <n v="2164.7006000000001"/>
    <d v="2022-12-29T00:00:00"/>
    <s v="Pago"/>
    <x v="75"/>
    <s v="11ª Tranche"/>
    <s v="1ª"/>
    <s v="MA"/>
    <s v="Liberações"/>
    <n v="0"/>
    <n v="0"/>
    <n v="0"/>
    <n v="0"/>
    <n v="0"/>
    <s v="LPT"/>
    <n v="0"/>
    <n v="0"/>
    <n v="0"/>
    <s v="Encerrado"/>
    <s v="11ª"/>
    <s v="EQUATORIAL"/>
    <s v="ENBPar"/>
    <n v="0"/>
    <n v="0"/>
    <n v="0"/>
    <n v="0"/>
    <n v="0"/>
    <n v="0"/>
    <n v="0"/>
    <n v="0"/>
    <n v="0"/>
    <n v="0"/>
    <n v="0"/>
    <s v="-"/>
    <n v="0"/>
  </r>
  <r>
    <d v="2021-10-01T00:00:00"/>
    <s v="NEOENERGIA "/>
    <s v="COELBA"/>
    <s v="CENTRAIS ELETRICAS BRASILEIRAS SA ELETROBRAS"/>
    <s v="00.001.180/0002-07"/>
    <s v="Programa Luz para Todos"/>
    <d v="2021-10-01T00:00:00"/>
    <n v="544827213"/>
    <n v="544827213"/>
    <n v="544827.21299999999"/>
    <d v="2021-10-07T00:00:00"/>
    <s v="Pago"/>
    <x v="76"/>
    <s v="11ª Tranche"/>
    <s v="1ª"/>
    <s v="BA"/>
    <s v="Liberações"/>
    <n v="931328570"/>
    <n v="931328.57"/>
    <n v="605363570"/>
    <n v="605363.56999999995"/>
    <n v="0.64999999946313258"/>
    <s v="LPT"/>
    <n v="0"/>
    <n v="0"/>
    <n v="0"/>
    <s v="Andamento"/>
    <s v="11ª"/>
    <s v="NEOENERGIA "/>
    <s v="ENBPar"/>
    <n v="0"/>
    <n v="0"/>
    <n v="0"/>
    <n v="0"/>
    <n v="0"/>
    <n v="809850570"/>
    <n v="809850.57"/>
    <n v="0.87"/>
    <n v="121478000"/>
    <n v="121478"/>
    <n v="0.13"/>
    <s v="-"/>
    <n v="0.90910000000000002"/>
  </r>
  <r>
    <d v="2022-01-01T00:00:00"/>
    <s v="AMAZONAS ENERGIA"/>
    <s v="AMAZONAS ENERGIA"/>
    <s v="CENTRAIS ELETRICAS BRASILEIRAS SA ELETROBRAS"/>
    <s v="00.001.180/0002-07"/>
    <s v="Programa Luz para Todos"/>
    <d v="2022-01-01T00:00:00"/>
    <n v="2943602.8"/>
    <n v="2943602.8"/>
    <n v="2943.6027999999997"/>
    <d v="2022-01-20T00:00:00"/>
    <s v="Pago"/>
    <x v="77"/>
    <s v="10ª Tranche"/>
    <s v="1ª "/>
    <s v="AM"/>
    <s v="Liberações"/>
    <n v="294243500"/>
    <n v="294243.5"/>
    <n v="264819150"/>
    <n v="264819.15000000002"/>
    <n v="0.9"/>
    <s v="LPT"/>
    <n v="-10036238.550000001"/>
    <n v="-10036.23855"/>
    <n v="-3.7898462214685007E-2"/>
    <s v="Encerrado"/>
    <s v="10ª"/>
    <s v="AMAZONAS ENERGIA"/>
    <s v="ENBPar"/>
    <n v="-0.13754127505507058"/>
    <n v="-10036238.550000001"/>
    <n v="-10036.23855"/>
    <n v="-36423563.549999997"/>
    <n v="-36423.563549999999"/>
    <n v="267494130"/>
    <n v="267494.13"/>
    <n v="0.9"/>
    <n v="26749370"/>
    <n v="26749.37"/>
    <n v="9.0999999999999998E-2"/>
    <s v="-"/>
    <n v="0.97060000000000002"/>
  </r>
  <r>
    <d v="2022-01-01T00:00:00"/>
    <s v="AMAZONAS ENERGIA"/>
    <s v="AMAZONAS ENERGIA"/>
    <s v="AMAZONAS ENERGIA S.A"/>
    <s v="02.341.467/0001-20"/>
    <s v="Programa Luz para Todos"/>
    <d v="2022-01-01T00:00:00"/>
    <n v="50041247.200000003"/>
    <n v="50041247.200000003"/>
    <n v="50041.247200000005"/>
    <d v="2022-01-20T00:00:00"/>
    <s v="Pago"/>
    <x v="77"/>
    <s v="10ª Tranche"/>
    <s v="1ª "/>
    <s v="AM"/>
    <s v="Liberações"/>
    <n v="0"/>
    <n v="0"/>
    <n v="0"/>
    <n v="0"/>
    <n v="0"/>
    <s v="LPT"/>
    <n v="0"/>
    <n v="0"/>
    <n v="0"/>
    <s v="Encerrado"/>
    <s v="10ª"/>
    <s v="AMAZONAS ENERGIA"/>
    <s v="ENBPar"/>
    <n v="0"/>
    <n v="0"/>
    <n v="0"/>
    <n v="0"/>
    <n v="0"/>
    <n v="0"/>
    <n v="0"/>
    <n v="0"/>
    <n v="0"/>
    <n v="0"/>
    <n v="0"/>
    <s v="-"/>
    <n v="0"/>
  </r>
  <r>
    <d v="2022-11-01T00:00:00"/>
    <s v="AMAZONAS ENERGIA"/>
    <s v="AMAZONAS ENERGIA"/>
    <s v="AMAZONAS ENERGIA S.A"/>
    <s v="02.341.467/0001-20"/>
    <s v="Programa Luz para Todos"/>
    <d v="2022-11-01T00:00:00"/>
    <n v="52984850"/>
    <n v="52984850"/>
    <n v="52984.85"/>
    <d v="2022-11-25T00:00:00"/>
    <s v="Pago"/>
    <x v="77"/>
    <s v="10ª Tranche"/>
    <s v="2ª"/>
    <s v="AM"/>
    <s v="Liberações"/>
    <n v="0"/>
    <n v="0"/>
    <n v="0"/>
    <n v="0"/>
    <n v="0"/>
    <s v="LPT"/>
    <n v="0"/>
    <n v="0"/>
    <n v="0"/>
    <s v="Encerrado"/>
    <s v="10ª"/>
    <s v="AMAZONAS ENERGIA"/>
    <s v="ENBPar"/>
    <n v="0"/>
    <n v="0"/>
    <n v="0"/>
    <n v="0"/>
    <n v="0"/>
    <n v="0"/>
    <n v="0"/>
    <n v="0"/>
    <n v="0"/>
    <n v="0"/>
    <n v="0"/>
    <s v="-"/>
    <n v="0"/>
  </r>
  <r>
    <d v="2023-04-01T00:00:00"/>
    <s v="AMAZONAS ENERGIA"/>
    <s v="AMAZONAS ENERGIA"/>
    <s v="AMAZONAS ENERGIA S.A"/>
    <s v="02.341.467/0001-20"/>
    <s v="Programa Luz para Todos"/>
    <d v="2023-04-01T00:00:00"/>
    <n v="52984850"/>
    <n v="52984850"/>
    <n v="52984.85"/>
    <d v="2023-04-20T00:00:00"/>
    <s v="Pago"/>
    <x v="77"/>
    <s v="10ª Tranche"/>
    <s v="3ª "/>
    <s v="AM"/>
    <s v="Liberações"/>
    <n v="0"/>
    <n v="0"/>
    <n v="0"/>
    <n v="0"/>
    <n v="0"/>
    <s v="LPT"/>
    <n v="0"/>
    <n v="0"/>
    <n v="0"/>
    <s v="Encerrado"/>
    <s v="10ª"/>
    <s v="AMAZONAS ENERGIA"/>
    <s v="ENBPar"/>
    <n v="0"/>
    <n v="0"/>
    <n v="0"/>
    <n v="0"/>
    <n v="0"/>
    <n v="0"/>
    <n v="0"/>
    <n v="0"/>
    <n v="0"/>
    <n v="0"/>
    <n v="0"/>
    <s v="-"/>
    <n v="0"/>
  </r>
  <r>
    <d v="2023-08-01T00:00:00"/>
    <s v="AMAZONAS ENERGIA"/>
    <s v="AMAZONAS ENERGIA"/>
    <s v="AMAZONAS ENERGIA S.A"/>
    <s v="02.341.467/0001-20"/>
    <s v="Programa Luz para Todos"/>
    <d v="2023-08-01T00:00:00"/>
    <n v="26492425"/>
    <n v="26492425"/>
    <n v="26492.424999999999"/>
    <d v="2023-08-25T00:00:00"/>
    <s v="Pago"/>
    <x v="77"/>
    <s v="10ª Tranche"/>
    <s v="4ª"/>
    <s v="AM"/>
    <s v="Liberações"/>
    <n v="0"/>
    <n v="0"/>
    <n v="0"/>
    <n v="0"/>
    <n v="0"/>
    <s v="LPT"/>
    <n v="0"/>
    <n v="0"/>
    <n v="0"/>
    <s v="Encerrado"/>
    <s v="10ª"/>
    <s v="AMAZONAS ENERGIA"/>
    <s v="ENBPar"/>
    <n v="0"/>
    <n v="0"/>
    <n v="0"/>
    <n v="0"/>
    <n v="0"/>
    <n v="0"/>
    <n v="0"/>
    <n v="0"/>
    <n v="0"/>
    <n v="0"/>
    <n v="0"/>
    <s v="-"/>
    <n v="0"/>
  </r>
  <r>
    <d v="2023-10-01T00:00:00"/>
    <s v="AMAZONAS ENERGIA"/>
    <s v="AMAZONAS ENERGIA"/>
    <s v="AMAZONAS ENERGIA S.A"/>
    <s v="02.341.467/0001-20"/>
    <s v="Programa Luz para Todos"/>
    <d v="2023-09-02T00:00:00"/>
    <n v="26492425"/>
    <n v="26492425"/>
    <n v="26492.424999999999"/>
    <d v="2023-10-09T00:00:00"/>
    <s v="Pago"/>
    <x v="77"/>
    <s v="10ª Tranche"/>
    <s v="5ª"/>
    <s v="AM"/>
    <s v="Liberações"/>
    <n v="0"/>
    <n v="0"/>
    <n v="0"/>
    <n v="0"/>
    <n v="0"/>
    <s v="LPT"/>
    <n v="0"/>
    <n v="0"/>
    <n v="0"/>
    <s v="Encerrado"/>
    <s v="10ª"/>
    <s v="AMAZONAS ENERGIA"/>
    <s v="ENBPar"/>
    <n v="0"/>
    <n v="0"/>
    <n v="0"/>
    <n v="0"/>
    <n v="0"/>
    <n v="0"/>
    <n v="0"/>
    <n v="0"/>
    <n v="0"/>
    <n v="0"/>
    <n v="0"/>
    <s v="-"/>
    <n v="0"/>
  </r>
  <r>
    <d v="2024-01-01T00:00:00"/>
    <s v="AMAZONAS ENERGIA"/>
    <s v="AMAZONAS ENERGIA"/>
    <s v="AMAZONAS ENERGIA S.A"/>
    <s v="02.341.467/0001-20"/>
    <s v="Programa Luz para Todos"/>
    <d v="2024-01-02T00:00:00"/>
    <n v="26492425"/>
    <n v="26492425"/>
    <n v="26492.424999999999"/>
    <d v="2024-01-19T00:00:00"/>
    <s v="Compensado"/>
    <x v="77"/>
    <s v="10ª Tranche"/>
    <s v="6ª"/>
    <s v="AM"/>
    <s v="Liberações"/>
    <n v="0"/>
    <n v="0"/>
    <n v="0"/>
    <n v="0"/>
    <n v="0"/>
    <s v="LPT"/>
    <n v="0"/>
    <n v="0"/>
    <n v="0"/>
    <s v="Encerrado"/>
    <s v="10ª"/>
    <s v="AMAZONAS ENERGIA"/>
    <s v="ENBPar"/>
    <n v="0"/>
    <n v="0"/>
    <n v="0"/>
    <n v="0"/>
    <n v="0"/>
    <n v="0"/>
    <n v="0"/>
    <n v="0"/>
    <n v="0"/>
    <n v="0"/>
    <n v="0"/>
    <s v="-"/>
    <n v="0"/>
  </r>
  <r>
    <d v="2022-12-01T00:00:00"/>
    <s v="EQUATORIAL"/>
    <s v="EQUATORIAL PIAUI"/>
    <s v="CENTRAIS ELETRICAS BRASILEIRAS SA ELETROBRAS"/>
    <s v="00.001.180/0002-07"/>
    <s v="Programa Luz para Todos"/>
    <d v="2022-12-01T00:00:00"/>
    <n v="3553181.8"/>
    <n v="3553181.8"/>
    <n v="3553.1817999999998"/>
    <d v="2022-12-09T00:00:00"/>
    <s v="Pago"/>
    <x v="78"/>
    <s v="7ª Tranche"/>
    <s v="1ª"/>
    <s v="PI"/>
    <s v="Liberações"/>
    <n v="355288130"/>
    <n v="355288.13"/>
    <n v="248701690"/>
    <n v="248701.69"/>
    <n v="0.69999999718538308"/>
    <s v="LPT"/>
    <n v="0"/>
    <n v="0"/>
    <n v="0"/>
    <s v="Andamento"/>
    <s v="07ª"/>
    <s v="EQUATORIAL"/>
    <s v="ENBPar"/>
    <n v="0"/>
    <n v="0"/>
    <n v="0"/>
    <n v="0"/>
    <n v="0"/>
    <n v="310580390"/>
    <n v="310580.39"/>
    <n v="0.874"/>
    <n v="44707740"/>
    <n v="44707.74"/>
    <n v="0.126"/>
    <s v="-"/>
    <n v="0.89749999999999996"/>
  </r>
  <r>
    <d v="2022-12-01T00:00:00"/>
    <s v="EQUATORIAL"/>
    <s v="EQUATORIAL PIAUI"/>
    <s v="EQUATORIAL PIAUI DISTRIBUIDORA DE ENERGIA S.A"/>
    <s v="06.840.748/0001-89"/>
    <s v="Programa Luz para Todos"/>
    <d v="2022-12-01T00:00:00"/>
    <n v="46191362.200000003"/>
    <n v="46191362.200000003"/>
    <n v="46191.362200000003"/>
    <d v="2022-12-09T00:00:00"/>
    <s v="Pago"/>
    <x v="78"/>
    <s v="7ª Tranche"/>
    <s v="1ª"/>
    <s v="PI"/>
    <s v="Liberações"/>
    <n v="0"/>
    <n v="0"/>
    <n v="0"/>
    <n v="0"/>
    <n v="0"/>
    <s v="LPT"/>
    <n v="0"/>
    <n v="0"/>
    <n v="0"/>
    <s v="Andamento"/>
    <s v="07ª"/>
    <s v="EQUATORIAL"/>
    <s v="ENBPar"/>
    <n v="0"/>
    <n v="0"/>
    <n v="0"/>
    <n v="0"/>
    <n v="0"/>
    <n v="0"/>
    <n v="0"/>
    <n v="0"/>
    <n v="0"/>
    <n v="0"/>
    <n v="0"/>
    <s v="-"/>
    <n v="0"/>
  </r>
  <r>
    <d v="2023-12-01T00:00:00"/>
    <s v="EQUATORIAL"/>
    <s v="EQUATORIAL PIAUI"/>
    <s v="EQUATORIAL PIAUI DISTRIBUIDORA DE ENERGIA S.A"/>
    <s v="06.840.748/0001-89"/>
    <s v="Programa Luz para Todos"/>
    <d v="2023-12-01T00:00:00"/>
    <n v="49744544"/>
    <n v="49744544"/>
    <n v="49744.544000000002"/>
    <d v="2023-12-28T00:00:00"/>
    <s v="Pago"/>
    <x v="78"/>
    <s v="7ª Tranche"/>
    <s v="2ª"/>
    <s v="PI"/>
    <s v="Liberações"/>
    <n v="0"/>
    <n v="0"/>
    <n v="0"/>
    <n v="0"/>
    <n v="0"/>
    <s v="LPT"/>
    <n v="0"/>
    <n v="0"/>
    <n v="0"/>
    <s v="Andamento"/>
    <s v="07ª"/>
    <s v="EQUATORIAL"/>
    <s v="ENBPar"/>
    <n v="0"/>
    <n v="0"/>
    <n v="0"/>
    <n v="0"/>
    <n v="0"/>
    <n v="0"/>
    <n v="0"/>
    <n v="0"/>
    <n v="0"/>
    <n v="0"/>
    <n v="0"/>
    <s v="-"/>
    <n v="0"/>
  </r>
  <r>
    <d v="2023-12-01T00:00:00"/>
    <s v="EQUATORIAL"/>
    <s v="EQUATORIAL PIAUI"/>
    <s v="EQUATORIAL PIAUI DISTRIBUIDORA DE ENERGIA S.A"/>
    <s v="06.840.748/0001-89"/>
    <s v="Programa Luz para Todos"/>
    <d v="2023-12-01T00:00:00"/>
    <n v="49744544"/>
    <n v="49744544"/>
    <n v="49744.544000000002"/>
    <d v="2023-12-28T00:00:00"/>
    <s v="Pago"/>
    <x v="78"/>
    <s v="7ª Tranche"/>
    <s v="3ª"/>
    <s v="PI"/>
    <s v="Liberações"/>
    <n v="0"/>
    <n v="0"/>
    <n v="0"/>
    <n v="0"/>
    <n v="0"/>
    <s v="LPT"/>
    <n v="0"/>
    <n v="0"/>
    <n v="0"/>
    <s v="Andamento"/>
    <s v="07ª"/>
    <s v="EQUATORIAL"/>
    <s v="ENBPar"/>
    <n v="0"/>
    <n v="0"/>
    <n v="0"/>
    <n v="0"/>
    <n v="0"/>
    <n v="0"/>
    <n v="0"/>
    <n v="0"/>
    <n v="0"/>
    <n v="0"/>
    <n v="0"/>
    <s v="-"/>
    <n v="0"/>
  </r>
  <r>
    <d v="2024-12-01T00:00:00"/>
    <s v="EQUATORIAL"/>
    <s v="EQUATORIAL PIAUI"/>
    <s v="EQUATORIAL PIAUI DISTRIBUIDORA DE ENERGIA S.A"/>
    <s v="06.840.748/0001-89"/>
    <s v="Programa Luz para Todos"/>
    <d v="2024-12-01T00:00:00"/>
    <n v="24872272"/>
    <n v="24872272"/>
    <n v="24872.272000000001"/>
    <d v="2024-12-13T00:00:00"/>
    <s v="Pago"/>
    <x v="78"/>
    <s v="7ª Tranche"/>
    <s v="4ª"/>
    <s v="PI"/>
    <s v="Liberações"/>
    <n v="0"/>
    <n v="0"/>
    <n v="0"/>
    <n v="0"/>
    <n v="0"/>
    <s v="LPT"/>
    <n v="0"/>
    <n v="0"/>
    <n v="0"/>
    <s v="Andamento"/>
    <s v="07ª"/>
    <s v="EQUATORIAL"/>
    <s v="ENBPar"/>
    <n v="0"/>
    <n v="0"/>
    <n v="0"/>
    <n v="0"/>
    <n v="0"/>
    <n v="0"/>
    <n v="0"/>
    <n v="0"/>
    <n v="0"/>
    <n v="0"/>
    <n v="0"/>
    <s v="-"/>
    <n v="0"/>
  </r>
  <r>
    <d v="2024-12-01T00:00:00"/>
    <s v="EQUATORIAL"/>
    <s v="EQUATORIAL PIAUI"/>
    <s v="EQUATORIAL PIAUI DISTRIBUIDORA DE ENERGIA S.A"/>
    <s v="06.840.748/0001-89"/>
    <s v="Programa Luz para Todos"/>
    <d v="2024-12-01T00:00:00"/>
    <n v="24872272"/>
    <n v="24872272"/>
    <n v="24872.272000000001"/>
    <d v="2024-12-13T00:00:00"/>
    <s v="Pago"/>
    <x v="78"/>
    <s v="7ª Tranche"/>
    <s v="5ª"/>
    <s v="PI"/>
    <s v="Liberações"/>
    <n v="0"/>
    <n v="0"/>
    <n v="0"/>
    <n v="0"/>
    <n v="0"/>
    <s v="LPT"/>
    <n v="0"/>
    <n v="0"/>
    <n v="0"/>
    <s v="Andamento"/>
    <s v="07ª"/>
    <s v="EQUATORIAL"/>
    <s v="ENBPar"/>
    <n v="0"/>
    <n v="0"/>
    <n v="0"/>
    <n v="0"/>
    <n v="0"/>
    <n v="0"/>
    <n v="0"/>
    <n v="0"/>
    <n v="0"/>
    <n v="0"/>
    <n v="0"/>
    <s v="-"/>
    <n v="0"/>
  </r>
  <r>
    <d v="2024-04-01T00:00:00"/>
    <s v="EQUATORIAL"/>
    <s v="EQUATORIAL PARÁ"/>
    <s v="CENTRAIS ELETRICAS BRASILEIRAS SA ELETROBRAS"/>
    <s v="00.001.180/0002-07"/>
    <s v="Programa Luz para Todos"/>
    <d v="2024-03-01T00:00:00"/>
    <n v="15753107.4"/>
    <n v="15753107.4"/>
    <n v="15753.107400000001"/>
    <d v="2024-04-11T00:00:00"/>
    <s v="Pago"/>
    <x v="79"/>
    <s v="8ª Tranche"/>
    <s v="1ª"/>
    <s v="PA"/>
    <s v="Liberações"/>
    <n v="1562065530"/>
    <n v="1562065.53"/>
    <n v="1405858980"/>
    <n v="1405858.98"/>
    <n v="0.90000000192053398"/>
    <s v="LPT"/>
    <n v="0"/>
    <n v="0"/>
    <n v="0"/>
    <s v="Andamento"/>
    <s v="08ª"/>
    <s v="EQUATORIAL"/>
    <s v="ENBPar"/>
    <n v="0"/>
    <n v="0"/>
    <n v="0"/>
    <n v="0"/>
    <n v="0"/>
    <n v="1406170340"/>
    <n v="1406170.34"/>
    <n v="0.9002"/>
    <n v="155895190"/>
    <n v="155895.19"/>
    <n v="9.98E-2"/>
    <s v="-"/>
    <n v="0.53210000000000002"/>
  </r>
  <r>
    <d v="2024-04-01T00:00:00"/>
    <s v="EQUATORIAL"/>
    <s v="EQUATORIAL PARÁ"/>
    <s v="EQUATORIAL PARA DISTRIBUIDORA DE ENERGIA S.A."/>
    <s v="04.895.728/0001-80"/>
    <s v="Programa Luz para Todos"/>
    <d v="2024-03-01T00:00:00"/>
    <n v="267802824.59999999"/>
    <n v="267802824.59999999"/>
    <n v="267802.82459999999"/>
    <d v="2024-04-11T00:00:00"/>
    <s v="Pago"/>
    <x v="79"/>
    <s v="8ª Tranche"/>
    <s v="1ª"/>
    <s v="PA"/>
    <s v="Liberações"/>
    <n v="0"/>
    <n v="0"/>
    <n v="0"/>
    <n v="0"/>
    <n v="0"/>
    <s v="LPT"/>
    <n v="0"/>
    <n v="0"/>
    <n v="0"/>
    <s v="Andamento"/>
    <s v="08ª"/>
    <s v="EQUATORIAL"/>
    <s v="ENBPar"/>
    <n v="0"/>
    <n v="0"/>
    <n v="0"/>
    <n v="0"/>
    <n v="0"/>
    <n v="0"/>
    <n v="0"/>
    <n v="0"/>
    <n v="0"/>
    <n v="0"/>
    <n v="0"/>
    <s v="-"/>
    <n v="0"/>
  </r>
  <r>
    <d v="2024-12-01T00:00:00"/>
    <s v="EQUATORIAL"/>
    <s v="EQUATORIAL PARÁ"/>
    <s v="EQUATORIAL PARA DISTRIBUIDORA DE ENERGIA S.A."/>
    <s v="04.895.728/0001-80"/>
    <s v="Programa Luz para Todos"/>
    <d v="2024-12-01T00:00:00"/>
    <n v="283555932"/>
    <n v="283555932"/>
    <n v="283555.93199999997"/>
    <d v="2024-12-30T00:00:00"/>
    <s v="Pago"/>
    <x v="79"/>
    <s v="8ª Tranche"/>
    <s v="2ª"/>
    <s v="PA"/>
    <s v="Liberações"/>
    <n v="0"/>
    <n v="0"/>
    <n v="0"/>
    <n v="0"/>
    <n v="0"/>
    <s v="LPT"/>
    <n v="0"/>
    <n v="0"/>
    <n v="0"/>
    <s v="Andamento"/>
    <s v="08ª"/>
    <s v="EQUATORIAL"/>
    <s v="ENBPar"/>
    <n v="0"/>
    <n v="0"/>
    <n v="0"/>
    <n v="0"/>
    <n v="0"/>
    <n v="0"/>
    <n v="0"/>
    <n v="0"/>
    <n v="0"/>
    <n v="0"/>
    <n v="0"/>
    <s v="-"/>
    <n v="0"/>
  </r>
  <r>
    <d v="2025-12-01T00:00:00"/>
    <s v="EQUATORIAL"/>
    <s v="EQUATORIAL PARÁ"/>
    <s v="EQUATORIAL PARA DISTRIBUIDORA DE ENERGIA S.A."/>
    <s v="04.895.728/0001-80"/>
    <s v="Programa Luz para Todos"/>
    <d v="2025-12-01T00:00:00"/>
    <n v="276403524"/>
    <n v="276403524"/>
    <n v="276403.52399999998"/>
    <d v="2025-12-23T00:00:00"/>
    <s v="Pago"/>
    <x v="79"/>
    <s v="8ª Tranche"/>
    <s v="3ª"/>
    <s v="PA"/>
    <s v="Liberações"/>
    <n v="0"/>
    <n v="0"/>
    <n v="0"/>
    <n v="0"/>
    <n v="0"/>
    <s v="LPT"/>
    <n v="0"/>
    <n v="0"/>
    <n v="0"/>
    <s v="Andamento"/>
    <s v="08ª"/>
    <s v="EQUATORIAL"/>
    <s v="ENBPar"/>
    <n v="0"/>
    <n v="0"/>
    <n v="0"/>
    <n v="0"/>
    <n v="0"/>
    <n v="0"/>
    <n v="0"/>
    <n v="0"/>
    <n v="0"/>
    <n v="0"/>
    <n v="0"/>
    <s v="-"/>
    <n v="0"/>
  </r>
  <r>
    <d v="2024-12-01T00:00:00"/>
    <s v="EQUATORIAL"/>
    <s v="EQUATORIAL PIAUI"/>
    <s v="EQUATORIAL PIAUI DISTRIBUIDORA DE ENERGIA S.A"/>
    <s v="06.840.748/0001-89"/>
    <s v="Programa Luz para Todos"/>
    <d v="2024-12-01T00:00:00"/>
    <n v="15865361.800000001"/>
    <n v="15865361.800000001"/>
    <n v="15865.361800000001"/>
    <d v="2024-12-13T00:00:00"/>
    <s v="Pago"/>
    <x v="80"/>
    <s v="8ª Tranche"/>
    <s v="1ª"/>
    <s v="PI"/>
    <s v="Liberações"/>
    <n v="61020620"/>
    <n v="61020.62"/>
    <n v="54918560"/>
    <n v="54918.559999999998"/>
    <n v="0.90000003277580598"/>
    <s v="LPT"/>
    <n v="0"/>
    <n v="0"/>
    <n v="0"/>
    <s v="Andamento"/>
    <s v="08ª"/>
    <s v="EQUATORIAL"/>
    <s v="ENBPar"/>
    <n v="0"/>
    <n v="0"/>
    <n v="0"/>
    <n v="0"/>
    <n v="0"/>
    <n v="55473280"/>
    <n v="55473.279999999999"/>
    <n v="0.90900000000000003"/>
    <n v="5547340"/>
    <n v="5547.34"/>
    <n v="9.0999999999999998E-2"/>
    <s v="-"/>
    <n v="0.99729999999999996"/>
  </r>
  <r>
    <d v="2024-12-01T00:00:00"/>
    <s v="EQUATORIAL"/>
    <s v="EQUATORIAL PIAUI"/>
    <s v="EMPRESA BRASILEIRA DE PARTICIPACOES EM ENERGIA NUCLEAR E BINACIONAL S.A. - ENBPAR"/>
    <s v="43.913.162/0001-23"/>
    <s v="Programa Luz para Todos"/>
    <d v="2024-12-01T00:00:00"/>
    <n v="610206.19999999995"/>
    <n v="610206.19999999995"/>
    <n v="610.20619999999997"/>
    <d v="2024-12-13T00:00:00"/>
    <s v="Pago"/>
    <x v="80"/>
    <s v="8ª Tranche"/>
    <s v="1ª"/>
    <s v="PI"/>
    <s v="Liberações"/>
    <n v="0"/>
    <n v="0"/>
    <n v="0"/>
    <n v="0"/>
    <n v="0"/>
    <s v="LPT"/>
    <n v="0"/>
    <n v="0"/>
    <n v="0"/>
    <s v="Andamento"/>
    <s v="08ª"/>
    <s v="EQUATORIAL"/>
    <s v="ENBPar"/>
    <n v="0"/>
    <n v="0"/>
    <n v="0"/>
    <n v="0"/>
    <n v="0"/>
    <n v="0"/>
    <n v="0"/>
    <n v="0"/>
    <n v="0"/>
    <n v="0"/>
    <n v="0"/>
    <s v="-"/>
    <n v="0"/>
  </r>
  <r>
    <d v="2025-07-01T00:00:00"/>
    <s v="EQUATORIAL"/>
    <s v="EQUATORIAL PIAUI"/>
    <s v="EQUATORIAL PIAUI DISTRIBUIDORA DE ENERGIA S.A"/>
    <s v="06.840.748/0001-89"/>
    <s v="Programa Luz para Todos"/>
    <d v="2025-07-26T00:00:00"/>
    <n v="10983712"/>
    <n v="10983712"/>
    <n v="10983.712"/>
    <d v="2025-07-25T00:00:00"/>
    <s v="Pago"/>
    <x v="80"/>
    <s v="8ª Tranche"/>
    <s v="2ª"/>
    <s v="PI"/>
    <s v="Liberações"/>
    <n v="0"/>
    <n v="0"/>
    <n v="0"/>
    <n v="0"/>
    <n v="0"/>
    <s v="LPT"/>
    <n v="0"/>
    <n v="0"/>
    <n v="0"/>
    <s v="Andamento"/>
    <s v="08ª"/>
    <s v="EQUATORIAL"/>
    <s v="ENBPar"/>
    <n v="0"/>
    <n v="0"/>
    <n v="0"/>
    <n v="0"/>
    <n v="0"/>
    <n v="0"/>
    <n v="0"/>
    <n v="0"/>
    <n v="0"/>
    <n v="0"/>
    <n v="0"/>
    <s v="-"/>
    <n v="0"/>
  </r>
  <r>
    <d v="2024-12-01T00:00:00"/>
    <s v="ENERGISA"/>
    <s v="ENERGISA AC"/>
    <s v="ENERGISA ACRE - DISTRIBUIDORA DE ENERGIA S.A"/>
    <s v="04.065.033/0001-70"/>
    <s v="Programa Luz para Todos"/>
    <d v="2024-12-01T00:00:00"/>
    <n v="26415673.699999999"/>
    <n v="26415673.699999999"/>
    <n v="26415.673699999999"/>
    <d v="2024-12-13T00:00:00"/>
    <s v="Pago"/>
    <x v="81"/>
    <s v="8ª Tranche"/>
    <s v="1ª"/>
    <s v="AC"/>
    <s v="Liberações"/>
    <n v="91088530"/>
    <n v="91088.53"/>
    <n v="81979680"/>
    <n v="81979.679999999993"/>
    <n v="0.90000003293499198"/>
    <s v="LPT"/>
    <n v="0"/>
    <n v="0"/>
    <n v="0"/>
    <s v="Andamento"/>
    <s v="08ª"/>
    <s v="ENERGISA"/>
    <s v="ENBPar"/>
    <n v="0"/>
    <n v="0"/>
    <n v="0"/>
    <n v="0"/>
    <n v="0"/>
    <n v="82060400"/>
    <n v="82060.399999999994"/>
    <n v="0.90100000000000002"/>
    <n v="9028120"/>
    <n v="9028.1200000000008"/>
    <n v="9.9000000000000005E-2"/>
    <s v="-"/>
    <n v="0.94969999999999999"/>
  </r>
  <r>
    <d v="2024-12-01T00:00:00"/>
    <s v="ENERGISA"/>
    <s v="ENERGISA AC"/>
    <s v="EMPRESA BRASILEIRA DE PARTICIPACOES EM ENERGIA NUCLEAR E BINACIONAL S.A. - ENBPAR"/>
    <s v="43.913.162/0001-23"/>
    <s v="Programa Luz para Todos"/>
    <d v="2024-12-01T00:00:00"/>
    <n v="910885.3"/>
    <n v="910885.3"/>
    <n v="910.88530000000003"/>
    <d v="2024-12-13T00:00:00"/>
    <s v="Pago"/>
    <x v="81"/>
    <s v="8ª Tranche"/>
    <s v="1ª"/>
    <s v="AC"/>
    <s v="Liberações"/>
    <n v="0"/>
    <n v="0"/>
    <n v="0"/>
    <n v="0"/>
    <n v="0"/>
    <s v="LPT"/>
    <n v="0"/>
    <n v="0"/>
    <n v="0"/>
    <s v="Andamento"/>
    <s v="08ª"/>
    <s v="ENERGISA"/>
    <s v="ENBPar"/>
    <n v="0"/>
    <n v="0"/>
    <n v="0"/>
    <n v="0"/>
    <n v="0"/>
    <n v="0"/>
    <n v="0"/>
    <n v="0"/>
    <n v="0"/>
    <n v="0"/>
    <n v="0"/>
    <s v="-"/>
    <n v="0"/>
  </r>
  <r>
    <d v="2025-06-01T00:00:00"/>
    <s v="ENERGISA"/>
    <s v="ENERGISA AC"/>
    <s v="ENERGISA ACRE - DISTRIBUIDORA DE ENERGIA S.A"/>
    <s v="04.065.033/0001-70"/>
    <s v="Programa Luz para Todos"/>
    <d v="2025-06-27T00:00:00"/>
    <n v="10930624.5"/>
    <n v="10930624.5"/>
    <n v="10930.6245"/>
    <d v="2025-06-27T00:00:00"/>
    <s v="Pago"/>
    <x v="81"/>
    <s v="8ª Tranche"/>
    <s v="2ª"/>
    <s v="AC"/>
    <s v="Liberações"/>
    <n v="0"/>
    <n v="0"/>
    <n v="0"/>
    <n v="0"/>
    <n v="0"/>
    <s v="LPT"/>
    <n v="0"/>
    <n v="0"/>
    <n v="0"/>
    <s v="Andamento"/>
    <s v="08ª"/>
    <s v="ENERGISA"/>
    <s v="ENBPar"/>
    <n v="0"/>
    <n v="0"/>
    <n v="0"/>
    <n v="0"/>
    <n v="0"/>
    <n v="0"/>
    <n v="0"/>
    <n v="0"/>
    <n v="0"/>
    <n v="0"/>
    <n v="0"/>
    <s v="-"/>
    <n v="0"/>
  </r>
  <r>
    <d v="2025-06-01T00:00:00"/>
    <s v="ENERGISA"/>
    <s v="ENERGISA AC"/>
    <s v="ENERGISA ACRE - DISTRIBUIDORA DE ENERGIA S.A"/>
    <s v="04.065.033/0001-70"/>
    <s v="Programa Luz para Todos"/>
    <d v="2025-06-27T00:00:00"/>
    <n v="10930624.5"/>
    <n v="10930624.5"/>
    <n v="10930.6245"/>
    <d v="2025-06-27T00:00:00"/>
    <s v="Pago"/>
    <x v="81"/>
    <s v="8ª Tranche"/>
    <s v="3ª"/>
    <s v="AC"/>
    <s v="Liberações"/>
    <n v="0"/>
    <n v="0"/>
    <n v="0"/>
    <n v="0"/>
    <n v="0"/>
    <s v="LPT"/>
    <n v="0"/>
    <n v="0"/>
    <n v="0"/>
    <s v="Andamento"/>
    <s v="08ª"/>
    <s v="ENERGISA"/>
    <s v="ENBPar"/>
    <n v="0"/>
    <n v="0"/>
    <n v="0"/>
    <n v="0"/>
    <n v="0"/>
    <n v="0"/>
    <n v="0"/>
    <n v="0"/>
    <n v="0"/>
    <n v="0"/>
    <n v="0"/>
    <s v="-"/>
    <n v="0"/>
  </r>
  <r>
    <d v="2025-09-01T00:00:00"/>
    <s v="ENERGISA"/>
    <s v="ENERGISA AC"/>
    <s v="ENERGISA ACRE - DISTRIBUIDORA DE ENERGIA S.A"/>
    <s v="04.065.033/0001-70"/>
    <s v="Programa Luz para Todos"/>
    <d v="2025-08-01T00:00:00"/>
    <n v="8197968"/>
    <n v="8197968"/>
    <n v="8197.9680000000008"/>
    <d v="2025-09-05T00:00:00"/>
    <s v="Pago"/>
    <x v="81"/>
    <s v="8ª Tranche"/>
    <s v="4ª"/>
    <s v="AC"/>
    <s v="Liberações"/>
    <n v="0"/>
    <n v="0"/>
    <n v="0"/>
    <n v="0"/>
    <n v="0"/>
    <s v="LPT"/>
    <n v="0"/>
    <n v="0"/>
    <n v="0"/>
    <s v="Andamento"/>
    <s v="08ª"/>
    <s v="ENERGISA"/>
    <s v="ENBPar"/>
    <n v="0"/>
    <n v="0"/>
    <n v="0"/>
    <n v="0"/>
    <n v="0"/>
    <n v="0"/>
    <n v="0"/>
    <n v="0"/>
    <n v="0"/>
    <n v="0"/>
    <n v="0"/>
    <s v="-"/>
    <n v="0"/>
  </r>
  <r>
    <d v="2025-09-01T00:00:00"/>
    <s v="ENERGISA"/>
    <s v="ENERGISA AC"/>
    <s v="ENERGISA ACRE - DISTRIBUIDORA DE ENERGIA S.A"/>
    <s v="04.065.033/0001-70"/>
    <s v="Programa Luz para Todos"/>
    <d v="2025-08-01T00:00:00"/>
    <n v="8197968"/>
    <n v="8197968"/>
    <n v="8197.9680000000008"/>
    <d v="2025-09-05T00:00:00"/>
    <s v="Pago"/>
    <x v="81"/>
    <s v="8ª Tranche"/>
    <s v="5ª"/>
    <s v="AC"/>
    <s v="Liberações"/>
    <n v="0"/>
    <n v="0"/>
    <n v="0"/>
    <n v="0"/>
    <n v="0"/>
    <s v="LPT"/>
    <n v="0"/>
    <n v="0"/>
    <n v="0"/>
    <s v="Andamento"/>
    <s v="08ª"/>
    <s v="ENERGISA"/>
    <s v="ENBPar"/>
    <n v="0"/>
    <n v="0"/>
    <n v="0"/>
    <n v="0"/>
    <n v="0"/>
    <n v="0"/>
    <n v="0"/>
    <n v="0"/>
    <n v="0"/>
    <n v="0"/>
    <n v="0"/>
    <s v="-"/>
    <n v="0"/>
  </r>
  <r>
    <d v="2025-12-01T00:00:00"/>
    <s v="NEOENERGIA "/>
    <s v="COELBA"/>
    <s v="COMPANHIA DE ELETRICIDADE DO ESTADO DA BAHIA COELBA"/>
    <s v="15.139.629/0001-94"/>
    <s v="Programa Luz para Todos"/>
    <d v="2025-12-01T00:00:00"/>
    <n v="268453179.60000002"/>
    <n v="268453179.60000002"/>
    <n v="268453.17960000003"/>
    <d v="2025-12-16T00:00:00"/>
    <s v="Pago"/>
    <x v="82"/>
    <s v="12ª Tranche"/>
    <s v="1ª"/>
    <s v="BA"/>
    <s v="Liberações"/>
    <n v="1167187740"/>
    <n v="1167187.74"/>
    <n v="933750190"/>
    <n v="933750.19"/>
    <n v="0.79999999828647961"/>
    <s v="LPT"/>
    <n v="0"/>
    <n v="0"/>
    <n v="0"/>
    <s v="Andamento"/>
    <s v="12ª"/>
    <s v="NEOENERGIA "/>
    <s v="ENBPar"/>
    <n v="0"/>
    <n v="0"/>
    <n v="0"/>
    <n v="0"/>
    <n v="0"/>
    <n v="1167187740"/>
    <n v="1167187.74"/>
    <n v="1"/>
    <n v="0"/>
    <n v="0"/>
    <n v="0"/>
    <s v="-"/>
    <n v="0.15240000000000001"/>
  </r>
  <r>
    <d v="2025-12-01T00:00:00"/>
    <s v="NEOENERGIA "/>
    <s v="COELBA"/>
    <s v="EMPRESA BRASILEIRA DE PARTICIPACOES EM ENERGIA NUCLEAR E BINACIONAL S.A. - ENBPAR"/>
    <s v="43.913.162/0001-23"/>
    <s v="Programa Luz para Todos"/>
    <d v="2025-12-01T00:00:00"/>
    <n v="11671877.4"/>
    <n v="11671877.4"/>
    <n v="11671.877400000001"/>
    <d v="2025-12-16T00:00:00"/>
    <s v="Pago"/>
    <x v="82"/>
    <s v="12ª Tranche"/>
    <s v="1ª"/>
    <s v="BA"/>
    <s v="Liberações"/>
    <n v="0"/>
    <n v="0"/>
    <n v="0"/>
    <n v="0"/>
    <n v="0"/>
    <s v="LPT"/>
    <n v="0"/>
    <n v="0"/>
    <n v="0"/>
    <s v="Andamento"/>
    <s v="12ª"/>
    <s v="NEOENERGIA "/>
    <s v="ENBPar"/>
    <n v="0"/>
    <n v="0"/>
    <n v="0"/>
    <n v="0"/>
    <n v="0"/>
    <n v="0"/>
    <n v="0"/>
    <n v="0"/>
    <n v="0"/>
    <n v="0"/>
    <n v="0"/>
    <s v="-"/>
    <n v="0"/>
  </r>
  <r>
    <d v="2025-06-01T00:00:00"/>
    <s v="RORAIMA ENERGIA"/>
    <s v="RORAIMA ENERGIA"/>
    <s v="RORAIMA ENERGIA S.A"/>
    <s v="02.341.470/0001-44"/>
    <s v="Programa Luz para Todos"/>
    <d v="2025-06-27T00:00:00"/>
    <n v="61864951.200000003"/>
    <n v="61864951.200000003"/>
    <n v="61864.951200000003"/>
    <d v="2025-06-06T00:00:00"/>
    <s v="Pago"/>
    <x v="83"/>
    <s v="6ª Tranche"/>
    <s v="1ª"/>
    <s v="RR"/>
    <s v="Liberações"/>
    <n v="237942120"/>
    <n v="237942.12"/>
    <n v="214147908"/>
    <n v="214147.908"/>
    <n v="0.9"/>
    <s v="LPT"/>
    <n v="0"/>
    <n v="0"/>
    <n v="0"/>
    <s v="Andamento"/>
    <s v="05ª"/>
    <s v="RORAIMA ENERGIA"/>
    <s v="ENBPar"/>
    <n v="0"/>
    <n v="0"/>
    <n v="0"/>
    <n v="0"/>
    <n v="0"/>
    <n v="216311980"/>
    <n v="216311.98"/>
    <n v="0.90900000000000003"/>
    <n v="21630140"/>
    <n v="21630.14"/>
    <n v="9.0999999999999998E-2"/>
    <s v="-"/>
    <n v="0.1016"/>
  </r>
  <r>
    <d v="2025-06-01T00:00:00"/>
    <s v="RORAIMA ENERGIA"/>
    <s v="RORAIMA ENERGIA"/>
    <s v="EMPRESA BRASILEIRA DE PARTICIPACOES EM ENERGIA NUCLEAR E BINACIONAL S.A. - ENBPAR"/>
    <s v="43.913.162/0001-23"/>
    <s v="Programa Luz para Todos"/>
    <d v="2025-06-27T00:00:00"/>
    <n v="2379421.2000000002"/>
    <n v="2379421.2000000002"/>
    <n v="2379.4212000000002"/>
    <d v="2025-06-06T00:00:00"/>
    <s v="Pago"/>
    <x v="83"/>
    <s v="5ª Tranche"/>
    <s v="1ª"/>
    <s v="RR"/>
    <s v="Liberações"/>
    <n v="0"/>
    <n v="0"/>
    <n v="0"/>
    <n v="0"/>
    <n v="0"/>
    <s v="LPT"/>
    <n v="0"/>
    <n v="0"/>
    <n v="0"/>
    <s v="Andamento"/>
    <s v="05ª"/>
    <s v="RORAIMA ENERGIA"/>
    <s v="ENBPar"/>
    <n v="0"/>
    <n v="0"/>
    <n v="0"/>
    <n v="0"/>
    <n v="0"/>
    <n v="0"/>
    <n v="0"/>
    <n v="0"/>
    <n v="0"/>
    <n v="0"/>
    <n v="0"/>
    <s v="-"/>
    <n v="0"/>
  </r>
  <r>
    <d v="2025-09-01T00:00:00"/>
    <s v="CERCI"/>
    <s v="CERCI"/>
    <s v="COOPERATIVA DE ELETRIFICACAO RURAL CACHOEIRAS ITABORAI LTDA"/>
    <s v="27.707.397/0001-02"/>
    <s v="Programa Luz para Todos"/>
    <d v="2025-09-01T00:00:00"/>
    <n v="685839.3"/>
    <n v="685839.3"/>
    <n v="685.83930000000009"/>
    <d v="2025-09-12T00:00:00"/>
    <s v="Pago"/>
    <x v="84"/>
    <s v="3ª Tranche"/>
    <s v="1ª"/>
    <s v="RJ"/>
    <s v="Liberações"/>
    <n v="2981910"/>
    <n v="2981.91"/>
    <n v="2385528"/>
    <n v="2385.5279999999998"/>
    <n v="0.8"/>
    <s v="LPT"/>
    <n v="0"/>
    <n v="0"/>
    <n v="0"/>
    <s v="Andamento"/>
    <s v="03ª"/>
    <s v="OUTROS"/>
    <s v="ENBPar"/>
    <n v="0"/>
    <n v="0"/>
    <n v="0"/>
    <n v="0"/>
    <n v="0"/>
    <n v="2935100"/>
    <n v="2935.1"/>
    <n v="0.98399999999999999"/>
    <n v="46810"/>
    <n v="46.81"/>
    <n v="1.6E-2"/>
    <s v="-"/>
    <n v="0"/>
  </r>
  <r>
    <d v="2025-09-01T00:00:00"/>
    <s v="CERCI"/>
    <s v="CERCI"/>
    <s v="EMPRESA BRASILEIRA DE PARTICIPACOES EM ENERGIA NUCLEAR E BINACIONAL S.A. - ENBPAR"/>
    <s v="43.913.162/0001-23"/>
    <s v="Programa Luz para Todos"/>
    <d v="2025-09-01T00:00:00"/>
    <n v="29819.1"/>
    <n v="29819.1"/>
    <n v="29.819099999999999"/>
    <d v="2025-09-12T00:00:00"/>
    <s v="Pago"/>
    <x v="84"/>
    <s v="3ª Tranche"/>
    <s v="1ª"/>
    <s v="RJ"/>
    <s v="Liberações"/>
    <n v="0"/>
    <n v="0"/>
    <n v="0"/>
    <n v="0"/>
    <n v="0"/>
    <s v="LPT"/>
    <n v="0"/>
    <n v="0"/>
    <n v="0"/>
    <s v="Andamento"/>
    <s v="03ª"/>
    <s v="OUTROS"/>
    <s v="ENBPar"/>
    <n v="0"/>
    <n v="0"/>
    <n v="0"/>
    <n v="0"/>
    <n v="0"/>
    <n v="0"/>
    <n v="0"/>
    <n v="0"/>
    <n v="0"/>
    <n v="0"/>
    <n v="0"/>
    <s v="-"/>
    <n v="0"/>
  </r>
  <r>
    <d v="2025-09-01T00:00:00"/>
    <s v="ENERGISA"/>
    <s v="ENERGISA RO"/>
    <s v="ENERGISA RONDONIA - DISTRIBUIDORA DE ENERGIA S.A"/>
    <s v="05.914.650/0001-66"/>
    <s v="Programa Luz para Todos"/>
    <d v="2025-09-01T00:00:00"/>
    <n v="45234441.799999997"/>
    <n v="45234441.799999997"/>
    <n v="45234.441800000001"/>
    <d v="2025-09-30T00:00:00"/>
    <s v="Pago"/>
    <x v="85"/>
    <s v="8ª Tranche"/>
    <s v="1ª"/>
    <s v="RO"/>
    <s v="Liberações"/>
    <n v="173978620"/>
    <n v="173978.62"/>
    <n v="156580760"/>
    <n v="156580.76"/>
    <n v="0.90000001149566544"/>
    <s v="LPT"/>
    <n v="0"/>
    <n v="0"/>
    <n v="0"/>
    <s v="Andamento"/>
    <s v="08ª"/>
    <s v="ENERGISA"/>
    <s v="ENBPar"/>
    <n v="0"/>
    <n v="0"/>
    <n v="0"/>
    <n v="0"/>
    <n v="0"/>
    <n v="158816410"/>
    <n v="158816.41"/>
    <n v="0.90900000000000003"/>
    <n v="15816210"/>
    <n v="15816.21"/>
    <n v="9.0999999999999998E-2"/>
    <s v="-"/>
    <n v="0.67349999999999999"/>
  </r>
  <r>
    <d v="2025-09-01T00:00:00"/>
    <s v="RORAIMA ENERGIA"/>
    <s v="RORAIMA ENERGIA"/>
    <s v="EMPRESA BRASILEIRA DE PARTICIPACOES EM ENERGIA NUCLEAR E BINACIONAL S.A. - ENBPAR"/>
    <s v="43.913.162/0001-23"/>
    <s v="Programa Luz para Todos"/>
    <d v="2025-09-01T00:00:00"/>
    <n v="1739786.2"/>
    <n v="1739786.2"/>
    <n v="1739.7862"/>
    <d v="2025-09-30T00:00:00"/>
    <s v="Pago"/>
    <x v="85"/>
    <s v="8ª Tranche"/>
    <s v="1ª"/>
    <s v="RR"/>
    <s v="Liberações"/>
    <n v="0"/>
    <n v="0"/>
    <n v="0"/>
    <n v="0"/>
    <n v="0"/>
    <s v="LPT"/>
    <n v="0"/>
    <n v="0"/>
    <n v="0"/>
    <s v="Andamento"/>
    <s v="08ª"/>
    <s v="RORAIMA ENERGIA"/>
    <s v="ENBPar"/>
    <n v="0"/>
    <n v="0"/>
    <n v="0"/>
    <n v="0"/>
    <n v="0"/>
    <n v="0"/>
    <n v="0"/>
    <n v="0"/>
    <n v="0"/>
    <n v="0"/>
    <n v="0"/>
    <s v="-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31316152"/>
    <n v="31316152"/>
    <n v="31316.151999999998"/>
    <d v="2025-12-19T00:00:00"/>
    <s v="Pago"/>
    <x v="85"/>
    <s v="8ª Tranche"/>
    <s v="2ª"/>
    <s v="RO"/>
    <s v="Liberações"/>
    <n v="0"/>
    <n v="0"/>
    <n v="0"/>
    <n v="0"/>
    <n v="0"/>
    <s v="LPT"/>
    <n v="0"/>
    <n v="0"/>
    <n v="0"/>
    <s v="Andamento"/>
    <s v="08ª"/>
    <s v="ENERGISA"/>
    <s v="ENBPar"/>
    <n v="0"/>
    <n v="0"/>
    <n v="0"/>
    <n v="0"/>
    <n v="0"/>
    <n v="0"/>
    <n v="0"/>
    <n v="0"/>
    <n v="0"/>
    <n v="0"/>
    <n v="0"/>
    <s v="-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15658076"/>
    <n v="15658076"/>
    <n v="15658.075999999999"/>
    <d v="2025-12-19T00:00:00"/>
    <s v="Pago"/>
    <x v="85"/>
    <s v="8ª Tranche"/>
    <s v="3ª"/>
    <s v="RO"/>
    <s v="Liberações"/>
    <n v="0"/>
    <n v="0"/>
    <n v="0"/>
    <n v="0"/>
    <n v="0"/>
    <s v="LPT"/>
    <n v="0"/>
    <n v="0"/>
    <n v="0"/>
    <s v="Andamento"/>
    <s v="08ª"/>
    <s v="ENERGISA"/>
    <s v="ENBPar"/>
    <n v="0"/>
    <n v="0"/>
    <n v="0"/>
    <n v="0"/>
    <n v="0"/>
    <n v="0"/>
    <n v="0"/>
    <n v="0"/>
    <n v="0"/>
    <n v="0"/>
    <n v="0"/>
    <s v="-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15658076"/>
    <n v="15658076"/>
    <n v="15658.075999999999"/>
    <d v="2025-12-19T00:00:00"/>
    <s v="Pago"/>
    <x v="85"/>
    <s v="8ª Tranche"/>
    <s v="4ª"/>
    <s v="RO"/>
    <s v="Liberações"/>
    <n v="0"/>
    <n v="0"/>
    <n v="0"/>
    <n v="0"/>
    <n v="0"/>
    <s v="LPT"/>
    <n v="0"/>
    <n v="0"/>
    <n v="0"/>
    <s v="Andamento"/>
    <s v="08ª"/>
    <s v="ENERGISA"/>
    <s v="ENBPar"/>
    <n v="0"/>
    <n v="0"/>
    <n v="0"/>
    <n v="0"/>
    <n v="0"/>
    <n v="0"/>
    <n v="0"/>
    <n v="0"/>
    <n v="0"/>
    <n v="0"/>
    <n v="0"/>
    <s v="-"/>
    <n v="0"/>
  </r>
  <r>
    <d v="2025-12-01T00:00:00"/>
    <s v="ENERGISA"/>
    <s v="ENERGISA RO"/>
    <s v="ENERGISA RONDONIA - DISTRIBUIDORA DE ENERGIA S.A"/>
    <s v="05.914.650/0001-66"/>
    <s v="Programa Luz para Todos"/>
    <d v="2025-12-01T00:00:00"/>
    <n v="15658076"/>
    <n v="15658076"/>
    <n v="15658.075999999999"/>
    <d v="2025-12-19T00:00:00"/>
    <s v="Pago"/>
    <x v="85"/>
    <s v="8ª Tranche"/>
    <s v="5ª"/>
    <s v="RO"/>
    <s v="Liberações"/>
    <n v="0"/>
    <n v="0"/>
    <n v="0"/>
    <n v="0"/>
    <n v="0"/>
    <s v="LPT"/>
    <n v="0"/>
    <n v="0"/>
    <n v="0"/>
    <s v="Andamento"/>
    <s v="08ª"/>
    <s v="ENERGISA"/>
    <s v="ENBPar"/>
    <n v="0"/>
    <n v="0"/>
    <n v="0"/>
    <n v="0"/>
    <n v="0"/>
    <n v="0"/>
    <n v="0"/>
    <n v="0"/>
    <n v="0"/>
    <n v="0"/>
    <n v="0"/>
    <s v="-"/>
    <n v="0"/>
  </r>
  <r>
    <d v="2025-12-01T00:00:00"/>
    <s v="EQUATORIAL"/>
    <s v="EQUATORIAL MARANHÃO"/>
    <s v="EQUATORIAL MARANHAO DISTRIBUIDORA DE ENERGIA S.A"/>
    <s v="06.272.793/0001-84"/>
    <s v="Programa Luz para Todos"/>
    <d v="2025-12-01T00:00:00"/>
    <n v="165469719.40000001"/>
    <n v="165469719.40000001"/>
    <n v="165469.7194"/>
    <d v="2025-12-19T00:00:00"/>
    <s v="Pago"/>
    <x v="86"/>
    <s v="12ª Tranche"/>
    <s v="1ª"/>
    <s v="MA"/>
    <s v="Liberações"/>
    <n v="719433560"/>
    <n v="719433.56"/>
    <n v="575546850"/>
    <n v="575546.85"/>
    <n v="0.80000000277996486"/>
    <s v="LPT"/>
    <n v="0"/>
    <n v="0"/>
    <n v="0"/>
    <s v="Andamento"/>
    <s v="12ª"/>
    <s v="EQUATORIAL"/>
    <s v="ENBPar"/>
    <n v="0"/>
    <n v="0"/>
    <n v="0"/>
    <n v="0"/>
    <n v="0"/>
    <n v="647555080"/>
    <n v="647555.07999999996"/>
    <n v="0.9"/>
    <n v="71878480"/>
    <n v="71878.48"/>
    <n v="0.1"/>
    <s v="-"/>
    <n v="0.39400000000000002"/>
  </r>
  <r>
    <d v="2025-12-01T00:00:00"/>
    <s v="EQUATORIAL"/>
    <s v="EQUATORIAL MARANHÃO"/>
    <s v="EMPRESA BRASILEIRA DE PARTICIPACOES EM ENERGIA NUCLEAR E BINACIONAL S.A. - ENBPAR"/>
    <s v="43.913.162/0001-23"/>
    <s v="Programa Luz para Todos"/>
    <d v="2025-12-01T00:00:00"/>
    <n v="7194335.5999999996"/>
    <n v="7194335.5999999996"/>
    <n v="7194.3355999999994"/>
    <d v="2025-12-19T00:00:00"/>
    <s v="Pago"/>
    <x v="86"/>
    <s v="12ª Tranche"/>
    <s v="1ª"/>
    <s v="MA"/>
    <s v="Liberações"/>
    <n v="0"/>
    <n v="0"/>
    <n v="0"/>
    <n v="0"/>
    <n v="0"/>
    <s v="LPT"/>
    <n v="0"/>
    <n v="0"/>
    <n v="0"/>
    <s v="Andamento"/>
    <s v="12ª"/>
    <s v="EQUATORIAL"/>
    <s v="ENBPar"/>
    <n v="0"/>
    <n v="0"/>
    <n v="0"/>
    <n v="0"/>
    <n v="0"/>
    <n v="0"/>
    <n v="0"/>
    <n v="0"/>
    <n v="0"/>
    <n v="0"/>
    <n v="0"/>
    <s v="-"/>
    <n v="0"/>
  </r>
  <r>
    <d v="2025-12-01T00:00:00"/>
    <s v="ENERGISA"/>
    <s v="ENERGISA PB"/>
    <s v="ENERGISA PARAIBA - DISTRIBUIDORA DE ENERGIA S.A"/>
    <s v="09.095.183/0001-40"/>
    <s v="Programa Luz para Todos"/>
    <d v="2025-12-01T00:00:00"/>
    <n v="408117.8"/>
    <n v="408117.8"/>
    <n v="408.11779999999999"/>
    <d v="2025-12-15T00:00:00"/>
    <s v="Pago"/>
    <x v="87"/>
    <s v="7ª Tranche"/>
    <s v="1ª"/>
    <s v="PB"/>
    <s v="Liberações"/>
    <n v="1774420"/>
    <n v="1774.42"/>
    <n v="1419540"/>
    <n v="1419.54"/>
    <n v="0.80000225425772931"/>
    <s v="LPT"/>
    <n v="0"/>
    <n v="0"/>
    <n v="0"/>
    <s v="Andamento"/>
    <s v="07ª"/>
    <s v="ENERGISA"/>
    <s v="ENBPar"/>
    <n v="0"/>
    <n v="0"/>
    <n v="0"/>
    <n v="0"/>
    <n v="0"/>
    <n v="1678980"/>
    <n v="1678.98"/>
    <n v="0.94599999999999995"/>
    <n v="95440"/>
    <n v="95.44"/>
    <n v="5.3999999999999999E-2"/>
    <s v="-"/>
    <n v="0.94899999999999995"/>
  </r>
  <r>
    <d v="2025-12-01T00:00:00"/>
    <s v="ENERGISA"/>
    <s v="ENERGISA PB"/>
    <s v="EMPRESA BRASILEIRA DE PARTICIPACOES EM ENERGIA NUCLEAR E BINACIONAL S.A. - ENBPAR"/>
    <s v="43.913.162/0001-23"/>
    <s v="Programa Luz para Todos"/>
    <d v="2025-12-01T00:00:00"/>
    <n v="17744.2"/>
    <n v="17744.2"/>
    <n v="17.744199999999999"/>
    <d v="2025-12-15T00:00:00"/>
    <s v="Pago"/>
    <x v="87"/>
    <s v="7ª Tranche"/>
    <s v="1ª"/>
    <s v="PB"/>
    <s v="Liberações"/>
    <n v="0"/>
    <n v="0"/>
    <n v="0"/>
    <n v="0"/>
    <n v="0"/>
    <s v="LPT"/>
    <n v="0"/>
    <n v="0"/>
    <n v="0"/>
    <s v="Andamento"/>
    <s v="07ª"/>
    <s v="ENERGISA"/>
    <s v="ENBPar"/>
    <n v="0"/>
    <n v="0"/>
    <n v="0"/>
    <n v="0"/>
    <n v="0"/>
    <n v="0"/>
    <n v="0"/>
    <n v="0"/>
    <n v="0"/>
    <n v="0"/>
    <n v="0"/>
    <s v="-"/>
    <n v="0"/>
  </r>
  <r>
    <d v="2026-02-01T00:00:00"/>
    <s v="EQUATORIAL"/>
    <s v="EQUATORIAL PIAUI"/>
    <s v="EQUATORIAL PIAUI DISTRIBUIDORA DE ENERGIA S.A"/>
    <s v="06.840.748/0001-89"/>
    <s v="Programa Luz para Todos"/>
    <d v="2026-02-01T00:00:00"/>
    <n v="126085139.59999999"/>
    <n v="126085139.59999999"/>
    <n v="126085.13959999999"/>
    <d v="2026-02-13T00:00:00"/>
    <s v="Pago"/>
    <x v="88"/>
    <s v="9ª Tranche"/>
    <s v="1ª"/>
    <s v="PI"/>
    <s v="Liberações"/>
    <n v="484942840"/>
    <n v="484942.84"/>
    <n v="436448560"/>
    <n v="436448.56"/>
    <n v="0.90000000824839477"/>
    <s v="LPT"/>
    <n v="0"/>
    <n v="0"/>
    <n v="0"/>
    <s v="Andamento"/>
    <s v="09ª"/>
    <s v="EQUATORIAL"/>
    <s v="ENBPar"/>
    <n v="0"/>
    <n v="0"/>
    <n v="0"/>
    <n v="0"/>
    <n v="0"/>
    <n v="436492260"/>
    <n v="436492.26"/>
    <n v="0.90010000000000001"/>
    <n v="48450580"/>
    <n v="48450.58"/>
    <n v="9.9900000000000003E-2"/>
    <s v="-"/>
    <n v="0"/>
  </r>
  <r>
    <d v="2026-02-01T00:00:00"/>
    <s v="EQUATORIAL"/>
    <s v="EQUATORIAL PIAUI"/>
    <s v="EMPRESA BRASILEIRA DE PARTICIPACOES EM ENERGIA NUCLEAR E BINACIONAL S.A. - ENBPAR"/>
    <s v="43.913.162/0001-23"/>
    <s v="Programa Luz para Todos"/>
    <d v="2026-02-01T00:00:00"/>
    <n v="4849428.4000000004"/>
    <n v="4849428.4000000004"/>
    <n v="4849.4284000000007"/>
    <d v="2026-02-13T00:00:00"/>
    <s v="Pago"/>
    <x v="88"/>
    <s v="9ª Tranche"/>
    <s v="1ª"/>
    <s v="PI"/>
    <s v="Liberações"/>
    <n v="0"/>
    <n v="0"/>
    <n v="0"/>
    <n v="0"/>
    <n v="0"/>
    <s v="LPT"/>
    <n v="0"/>
    <n v="0"/>
    <n v="0"/>
    <s v="Andamento"/>
    <s v="09ª"/>
    <s v="EQUATORIAL"/>
    <s v="ENBPar"/>
    <n v="0"/>
    <n v="0"/>
    <n v="0"/>
    <n v="0"/>
    <n v="0"/>
    <n v="0"/>
    <n v="0"/>
    <n v="0"/>
    <n v="0"/>
    <n v="0"/>
    <n v="0"/>
    <s v="-"/>
    <n v="0"/>
  </r>
  <r>
    <d v="2026-02-01T00:00:00"/>
    <s v="EQUATORIAL"/>
    <s v="EQUATORIAL GOIÁS"/>
    <s v="EQUATORIAL GOIAS DISTRIBUIDORA DE ENERGIA S/A"/>
    <s v="01.543.032/0001-04"/>
    <s v="Programa Luz para Todos"/>
    <d v="2026-01-01T00:00:00"/>
    <n v="12759707.1"/>
    <n v="12759707.1"/>
    <n v="12759.7071"/>
    <d v="2026-02-06T00:00:00"/>
    <s v="Pago"/>
    <x v="89"/>
    <s v="6ª Tranche"/>
    <s v="1ª"/>
    <s v="GO"/>
    <s v="Liberações"/>
    <n v="55476990"/>
    <n v="55476.99"/>
    <n v="44381590"/>
    <n v="44381.59"/>
    <n v="0.7999999639490174"/>
    <s v="LPT"/>
    <n v="0"/>
    <n v="0"/>
    <n v="0"/>
    <s v="Andamento"/>
    <s v="06ª"/>
    <s v="EQUATORIAL"/>
    <s v="ENBPar"/>
    <n v="0"/>
    <n v="0"/>
    <n v="0"/>
    <n v="0"/>
    <n v="0"/>
    <n v="49934290"/>
    <n v="49934.29"/>
    <n v="0.9"/>
    <n v="5542700"/>
    <n v="5542.7"/>
    <n v="0.1"/>
    <s v="-"/>
    <n v="0"/>
  </r>
  <r>
    <d v="2026-02-01T00:00:00"/>
    <s v="EQUATORIAL"/>
    <s v="EQUATORIAL GOIÁS"/>
    <s v="EMPRESA BRASILEIRA DE PARTICIPACOES EM ENERGIA NUCLEAR E BINACIONAL S.A. - ENBPAR"/>
    <s v="43.913.162/0001-23"/>
    <s v="Programa Luz para Todos"/>
    <d v="2026-01-01T00:00:00"/>
    <n v="554769.9"/>
    <n v="554769.9"/>
    <n v="554.76990000000001"/>
    <d v="2026-02-06T00:00:00"/>
    <s v="Pago"/>
    <x v="89"/>
    <s v="6ª Tranche"/>
    <s v="1ª"/>
    <s v="GO"/>
    <s v="Liberações"/>
    <n v="0"/>
    <n v="0"/>
    <n v="0"/>
    <n v="0"/>
    <n v="0"/>
    <s v="LPT"/>
    <n v="0"/>
    <n v="0"/>
    <n v="0"/>
    <s v="Andamento"/>
    <s v="06ª"/>
    <s v="EQUATORIAL"/>
    <s v="ENBPar"/>
    <n v="0"/>
    <n v="0"/>
    <n v="0"/>
    <n v="0"/>
    <n v="0"/>
    <n v="0"/>
    <n v="0"/>
    <n v="0"/>
    <n v="0"/>
    <n v="0"/>
    <n v="0"/>
    <s v="-"/>
    <n v="0"/>
  </r>
  <r>
    <d v="2026-02-01T00:00:00"/>
    <s v="EQUATORIAL"/>
    <s v="EQUATORIAL AMAPÁ"/>
    <s v="COMPANHIA DE ELETRICIDADE DO AMAPA CEA"/>
    <s v="05.965.546/0001-09"/>
    <s v="Programa Luz para Todos"/>
    <d v="2026-02-01T00:00:00"/>
    <n v="23739155.600000001"/>
    <n v="23739155.600000001"/>
    <n v="23739.155600000002"/>
    <d v="2026-02-27T00:00:00"/>
    <s v="Pago"/>
    <x v="90"/>
    <s v="2ª Tranche"/>
    <s v="1ª"/>
    <s v="AP"/>
    <s v="Liberações"/>
    <n v="91304440"/>
    <n v="91304.44"/>
    <n v="82174000"/>
    <n v="82174"/>
    <n v="0.90000004380947962"/>
    <s v="LPT"/>
    <n v="0"/>
    <n v="0"/>
    <n v="0"/>
    <s v="Andamento"/>
    <s v="02ª"/>
    <s v="EQUATORIAL"/>
    <s v="ENBPar"/>
    <n v="0"/>
    <n v="0"/>
    <n v="0"/>
    <n v="0"/>
    <n v="0"/>
    <n v="82182220"/>
    <n v="82182.22"/>
    <n v="0.90010000000000001"/>
    <n v="9122220"/>
    <n v="9122.2199999999993"/>
    <n v="9.9900000000000003E-2"/>
    <s v="-"/>
    <n v="0.39040000000000002"/>
  </r>
  <r>
    <d v="2026-02-01T00:00:00"/>
    <s v="EQUATORIAL"/>
    <s v="EQUATORIAL AMAPÁ"/>
    <s v="EMPRESA BRASILEIRA DE PARTICIPACOES EM ENERGIA NUCLEAR E BINACIONAL S.A. - ENBPAR"/>
    <s v="43.913.162/0001-23"/>
    <s v="Programa Luz para Todos"/>
    <d v="2026-02-01T00:00:00"/>
    <n v="913044.4"/>
    <n v="913044.4"/>
    <n v="913.0444"/>
    <d v="2026-02-27T00:00:00"/>
    <s v="Pago"/>
    <x v="90"/>
    <s v="2ª Tranche"/>
    <s v="1ª"/>
    <s v="AP"/>
    <s v="Liberações"/>
    <n v="0"/>
    <n v="0"/>
    <n v="0"/>
    <n v="0"/>
    <n v="0"/>
    <s v="LPT"/>
    <n v="0"/>
    <n v="0"/>
    <n v="0"/>
    <s v="Andamento"/>
    <s v="02ª"/>
    <s v="EQUATORIAL"/>
    <s v="ENBPar"/>
    <n v="0"/>
    <n v="0"/>
    <n v="0"/>
    <n v="0"/>
    <n v="0"/>
    <n v="0"/>
    <n v="0"/>
    <n v="0"/>
    <n v="0"/>
    <n v="0"/>
    <n v="0"/>
    <s v="-"/>
    <n v="0"/>
  </r>
  <r>
    <d v="2026-02-01T00:00:00"/>
    <s v="ENERGISA"/>
    <s v="ENERGISA RO"/>
    <s v="ENERGISA RONDONIA - DISTRIBUIDORA DE ENERGIA S.A"/>
    <s v="05.914.650/0001-66"/>
    <s v="Programa Luz para Todos"/>
    <d v="2026-02-01T00:00:00"/>
    <n v="13101920"/>
    <n v="13101920"/>
    <n v="13101.92"/>
    <d v="2026-02-13T00:00:00"/>
    <s v="Pago"/>
    <x v="91"/>
    <s v="9ª Tranche"/>
    <s v="1ª"/>
    <s v="RO"/>
    <s v="Liberações"/>
    <n v="50392000"/>
    <n v="50392"/>
    <n v="45352800"/>
    <n v="45352.800000000003"/>
    <n v="0.9"/>
    <s v="LPT"/>
    <n v="0"/>
    <n v="0"/>
    <n v="0"/>
    <s v="Andamento"/>
    <s v="09ª"/>
    <s v="ENERGISA"/>
    <s v="ENBPar"/>
    <n v="0"/>
    <n v="0"/>
    <n v="0"/>
    <n v="0"/>
    <n v="0"/>
    <n v="45810910"/>
    <n v="45810.91"/>
    <n v="0.90900000000000003"/>
    <n v="4581090"/>
    <n v="4581.09"/>
    <n v="9.0999999999999998E-2"/>
    <s v="-"/>
    <n v="0.18129999999999999"/>
  </r>
  <r>
    <d v="2026-02-01T00:00:00"/>
    <s v="ENERGISA"/>
    <s v="ENERGISA RO"/>
    <s v="EMPRESA BRASILEIRA DE PARTICIPACOES EM ENERGIA NUCLEAR E BINACIONAL S.A. - ENBPAR"/>
    <s v="43.913.162/0001-23"/>
    <s v="Programa Luz para Todos"/>
    <d v="2026-02-01T00:00:00"/>
    <n v="503920"/>
    <n v="503920"/>
    <n v="503.92"/>
    <d v="2026-02-13T00:00:00"/>
    <s v="Pago"/>
    <x v="91"/>
    <s v="9ª Tranche"/>
    <s v="1ª"/>
    <s v="RO"/>
    <s v="Liberações"/>
    <n v="0"/>
    <n v="0"/>
    <n v="0"/>
    <n v="0"/>
    <n v="0"/>
    <s v="LPT"/>
    <n v="0"/>
    <n v="0"/>
    <n v="0"/>
    <s v="Andamento"/>
    <s v="09ª"/>
    <s v="ENERGISA"/>
    <s v="ENBPar"/>
    <n v="0"/>
    <n v="0"/>
    <n v="0"/>
    <n v="0"/>
    <n v="0"/>
    <n v="0"/>
    <n v="0"/>
    <n v="0"/>
    <n v="0"/>
    <n v="0"/>
    <n v="0"/>
    <s v="-"/>
    <n v="0"/>
  </r>
  <r>
    <d v="2025-12-01T00:00:00"/>
    <s v="EQUATORIAL"/>
    <s v="EQUATORIAL AMAPÁ"/>
    <s v="Companhia de Eletricidade do Amapá – CEA Equatorial Amapá"/>
    <s v="05.965.546/0001-09"/>
    <s v="Programa Luz para Todos"/>
    <d v="2025-12-01T00:00:00"/>
    <n v="0"/>
    <n v="0"/>
    <n v="0"/>
    <d v="2025-12-15T00:00:00"/>
    <s v="Pago"/>
    <x v="92"/>
    <s v="3ª Tranche"/>
    <n v="0"/>
    <s v="AP"/>
    <s v="Liberações"/>
    <n v="9029480"/>
    <n v="9029.48"/>
    <n v="8126530"/>
    <n v="8126.53"/>
    <n v="0.89999977850330248"/>
    <s v="LPT"/>
    <n v="0"/>
    <n v="0"/>
    <n v="0"/>
    <s v="Andamento"/>
    <s v="03ª"/>
    <s v="EQUATORIAL"/>
    <s v="ENBPar"/>
    <n v="0"/>
    <n v="0"/>
    <n v="0"/>
    <n v="0"/>
    <n v="0"/>
    <n v="8127550"/>
    <n v="8127.55"/>
    <n v="0.90010000000000001"/>
    <n v="901930"/>
    <n v="901.93"/>
    <n v="9.9900000000000003E-2"/>
    <s v="-"/>
    <n v="0"/>
  </r>
  <r>
    <d v="2026-02-01T00:00:00"/>
    <s v="ENERGISA"/>
    <s v="ENERGISA AC"/>
    <s v="ENERGISA ACRE - DISTRIBUIDORA DE ENERGIA S.A"/>
    <s v="04.065.033/0001-70"/>
    <s v="Programa Luz para Todos"/>
    <d v="2026-02-01T00:00:00"/>
    <n v="7496684"/>
    <n v="7496684"/>
    <n v="7496.6840000000002"/>
    <d v="2026-02-13T00:00:00"/>
    <s v="Pago"/>
    <x v="93"/>
    <s v="9ª Tranche"/>
    <s v="1ª"/>
    <s v="AC"/>
    <s v="Liberações"/>
    <n v="28833400"/>
    <n v="28833.4"/>
    <n v="25950060"/>
    <n v="25950.06"/>
    <n v="0.9"/>
    <s v="LPT"/>
    <n v="0"/>
    <n v="0"/>
    <n v="0"/>
    <s v="Andamento"/>
    <s v="09ª"/>
    <s v="ENERGISA"/>
    <s v="ENBPar"/>
    <n v="0"/>
    <n v="0"/>
    <n v="0"/>
    <n v="0"/>
    <n v="0"/>
    <n v="25952650"/>
    <n v="25952.65"/>
    <n v="0.90010000000000001"/>
    <n v="2880750"/>
    <n v="2880.75"/>
    <n v="9.9900000000000003E-2"/>
    <s v="-"/>
    <n v="0.3014"/>
  </r>
  <r>
    <d v="2026-02-01T00:00:00"/>
    <s v="ENERGISA"/>
    <s v="ENERGISA AC"/>
    <s v="EMPRESA BRASILEIRA DE PARTICIPACOES EM ENERGIA NUCLEAR E BINACIONAL S.A. - ENBPAR"/>
    <s v="43.913.162/0001-23"/>
    <s v="Programa Luz para Todos"/>
    <d v="2026-02-01T00:00:00"/>
    <n v="288334"/>
    <n v="288334"/>
    <n v="288.334"/>
    <d v="2026-02-13T00:00:00"/>
    <s v="Pago"/>
    <x v="93"/>
    <s v="9ª Tranche"/>
    <s v="1ª"/>
    <s v="AC"/>
    <s v="Liberações"/>
    <n v="0"/>
    <n v="0"/>
    <n v="0"/>
    <n v="0"/>
    <n v="0"/>
    <s v="LPT"/>
    <n v="0"/>
    <n v="0"/>
    <n v="0"/>
    <s v="Andamento"/>
    <s v="09ª"/>
    <s v="ENERGISA"/>
    <s v="ENBPar"/>
    <n v="0"/>
    <n v="0"/>
    <n v="0"/>
    <n v="0"/>
    <n v="0"/>
    <n v="0"/>
    <n v="0"/>
    <n v="0"/>
    <n v="0"/>
    <n v="0"/>
    <n v="0"/>
    <s v="-"/>
    <n v="0"/>
  </r>
  <r>
    <d v="2010-01-27T00:00:00"/>
    <s v="EQUATORIAL"/>
    <s v="EQUATORIAL PIAUI"/>
    <s v="EQUATORIAL PIAUI DISTRIBUIDORA DE ENERGIA S.A"/>
    <s v="06.840.748/0001-89"/>
    <s v="Programa Luz para Todos"/>
    <d v="2010-01-27T00:00:00"/>
    <n v="227479842"/>
    <n v="227479842"/>
    <n v="227479.842"/>
    <d v="2010-01-27T00:00:00"/>
    <s v="Pago"/>
    <x v="94"/>
    <s v="4ª Tranche"/>
    <n v="0"/>
    <s v="PI"/>
    <s v="Liberações"/>
    <n v="280839240"/>
    <n v="280839.24"/>
    <n v="252755320"/>
    <n v="252755.32"/>
    <n v="0.90000001424302389"/>
    <s v="LPT"/>
    <n v="-36808422.619999997"/>
    <n v="-36808.422619999998"/>
    <n v="-0.14562867606505769"/>
    <s v="Encerrado"/>
    <s v="04ª"/>
    <s v="EQUATORIAL"/>
    <s v="Eletrobras"/>
    <n v="-0.14562867606505769"/>
    <n v="-36808422.619999997"/>
    <n v="-36808.422619999998"/>
    <n v="0"/>
    <n v="0"/>
    <n v="0"/>
    <n v="0"/>
    <n v="0"/>
    <n v="0"/>
    <n v="0"/>
    <n v="0"/>
    <s v="-"/>
    <n v="0"/>
  </r>
  <r>
    <d v="2017-08-01T00:00:00"/>
    <s v="EQUATORIAL"/>
    <s v="EQUATORIAL PIAUI"/>
    <s v="EQUATORIAL PIAUI DISTRIBUIDORA DE ENERGIA S.A"/>
    <s v="06.840.748/0001-89"/>
    <s v="Programa Luz para Todos"/>
    <d v="2017-08-01T00:00:00"/>
    <n v="133479387"/>
    <n v="133479387"/>
    <n v="133479.38699999999"/>
    <s v="Sistema Antigo"/>
    <s v="Pago"/>
    <x v="95"/>
    <s v="5ª Tranche"/>
    <s v="2ª"/>
    <s v="PI"/>
    <s v="Liberações"/>
    <n v="164367250"/>
    <n v="164367.25"/>
    <n v="147930520"/>
    <n v="147930.51999999999"/>
    <n v="0.89999996958031481"/>
    <s v="LPT"/>
    <n v="-17035987.170000002"/>
    <n v="-17035.98717"/>
    <n v="-0.11516208534925722"/>
    <s v="Encerrado"/>
    <s v="05ª"/>
    <s v="EQUATORIAL"/>
    <s v="Eletrobras"/>
    <n v="-0.11516208534925722"/>
    <n v="-17035987.170000002"/>
    <n v="-17035.98717"/>
    <n v="0"/>
    <n v="0"/>
    <n v="0"/>
    <n v="0"/>
    <n v="0"/>
    <n v="0"/>
    <n v="0"/>
    <n v="0"/>
    <s v="-"/>
    <n v="0"/>
  </r>
  <r>
    <d v="2017-09-01T00:00:00"/>
    <s v="AMAZONAS ENERGIA"/>
    <s v="AMAZONAS ENERGIA"/>
    <s v="AMAZONAS ENERGIA S.A"/>
    <s v="02.341.467/0001-20"/>
    <s v="Programa Luz para Todos"/>
    <d v="2017-09-01T00:00:00"/>
    <n v="39064194"/>
    <n v="39064194"/>
    <n v="39064.194000000003"/>
    <s v="Sistema Antigo"/>
    <s v="Pago"/>
    <x v="96"/>
    <s v="7ª Tranche"/>
    <s v="4ª"/>
    <s v="AM"/>
    <s v="Liberações"/>
    <n v="217023300"/>
    <n v="217023.3"/>
    <n v="195320970"/>
    <n v="195320.97"/>
    <n v="0.9"/>
    <s v="LPT"/>
    <n v="-23405550.629999999"/>
    <n v="-23405.550629999998"/>
    <n v="-0.11983122257686923"/>
    <s v="Encerrado"/>
    <s v="07ª"/>
    <s v="AMAZONAS ENERGIA"/>
    <s v="Eletrobras"/>
    <n v="-0.11983122257686923"/>
    <n v="-23405550.629999999"/>
    <n v="-23405.550629999998"/>
    <n v="0"/>
    <n v="0"/>
    <n v="0"/>
    <n v="0"/>
    <n v="0"/>
    <n v="0"/>
    <n v="0"/>
    <n v="0"/>
    <s v="-"/>
    <n v="0"/>
  </r>
  <r>
    <d v="2023-08-01T00:00:00"/>
    <s v="EQUATORIAL"/>
    <s v="EQUATORIAL PARÁ"/>
    <s v="EQUATORIAL PARA DISTRIBUIDORA DE ENERGIA S.A."/>
    <s v="04.895.728/0001-80"/>
    <s v="Programa Luz para Todos"/>
    <d v="2023-08-01T00:00:00"/>
    <n v="5367619.34"/>
    <n v="5367619.34"/>
    <n v="5367.6193400000002"/>
    <d v="2023-08-10T00:00:00"/>
    <s v="Pago"/>
    <x v="97"/>
    <s v="5ª Tranche"/>
    <s v="parcela final"/>
    <s v="PA"/>
    <s v="Liberações"/>
    <n v="394876300"/>
    <n v="394876.3"/>
    <n v="296157230"/>
    <n v="296157.23"/>
    <n v="0.75000001266219318"/>
    <s v="LPT"/>
    <n v="-1309703.73"/>
    <n v="-1309.70373"/>
    <n v="-4.4223257017902279E-3"/>
    <s v="Encerrado"/>
    <s v="05ª"/>
    <s v="EQUATORIAL"/>
    <s v="Eletrobras"/>
    <n v="-4.4223257017902279E-3"/>
    <n v="-1309703.73"/>
    <n v="-1309.70373"/>
    <n v="0"/>
    <n v="0"/>
    <n v="0"/>
    <n v="0"/>
    <n v="0"/>
    <n v="0"/>
    <n v="0"/>
    <n v="0"/>
    <s v="-"/>
    <n v="0"/>
  </r>
  <r>
    <d v="2018-01-01T00:00:00"/>
    <s v="EQUATORIAL"/>
    <s v="EQUATORIAL ALAGOAS"/>
    <s v="COMPANHIA ENERGÉTICA DE ALAGOAS"/>
    <s v="12.272.084/0001-00"/>
    <s v="Programa Luz para Todos"/>
    <d v="2018-01-01T00:00:00"/>
    <n v="9991647.4800000004"/>
    <n v="9991647.4800000004"/>
    <n v="9991.6474799999996"/>
    <s v="Sistema Antigo"/>
    <s v="Pago"/>
    <x v="98"/>
    <s v="9ª Tranche"/>
    <s v="3ª "/>
    <s v="AL"/>
    <s v="Liberações"/>
    <n v="65667670"/>
    <n v="65667.67"/>
    <n v="54077330"/>
    <n v="54077.33"/>
    <n v="0.82350005718186747"/>
    <s v="LPT"/>
    <n v="-21229886.329999998"/>
    <n v="-21229.886329999998"/>
    <n v="-0.39258384853690076"/>
    <s v="Encerrado"/>
    <s v="09ª"/>
    <s v="EQUATORIAL"/>
    <s v="Eletrobras"/>
    <n v="-0.39258384853690076"/>
    <n v="-21229886.329999998"/>
    <n v="-21229.886329999998"/>
    <n v="0"/>
    <n v="0"/>
    <n v="0"/>
    <n v="0"/>
    <n v="0"/>
    <n v="0"/>
    <n v="0"/>
    <n v="0"/>
    <s v="-"/>
    <n v="0"/>
  </r>
  <r>
    <d v="2018-02-01T00:00:00"/>
    <s v="EQUATORIAL"/>
    <s v="EQUATORIAL ALAGOAS"/>
    <s v="COMPANHIA ENERGÉTICA DE ALAGOAS"/>
    <s v="12.272.084/0001-00"/>
    <s v="Programa Luz para Todos"/>
    <d v="2018-01-01T00:00:00"/>
    <n v="556153.52190000005"/>
    <n v="556153.52190000005"/>
    <n v="556.1535219000001"/>
    <s v="Sistema Antigo"/>
    <s v="Pago"/>
    <x v="98"/>
    <s v="9ª Tranche"/>
    <s v="3ª "/>
    <s v="AL"/>
    <s v="Liberações"/>
    <n v="0"/>
    <n v="0"/>
    <n v="0"/>
    <n v="0"/>
    <n v="0"/>
    <s v="LPT"/>
    <n v="0"/>
    <n v="0"/>
    <n v="0"/>
    <s v="Encerrado"/>
    <s v="09ª"/>
    <s v="EQUATORIAL"/>
    <s v="Eletrobras"/>
    <n v="0"/>
    <n v="0"/>
    <n v="0"/>
    <n v="0"/>
    <n v="0"/>
    <n v="0"/>
    <n v="0"/>
    <n v="0"/>
    <n v="0"/>
    <n v="0"/>
    <n v="0"/>
    <s v="-"/>
    <n v="0"/>
  </r>
  <r>
    <d v="2018-02-01T00:00:00"/>
    <s v="EQUATORIAL"/>
    <s v="EQUATORIAL ALAGOAS"/>
    <s v="COMPANHIA ENERGÉTICA DE ALAGOAS"/>
    <s v="12.272.084/0001-00"/>
    <s v="Programa Luz para Todos"/>
    <d v="2018-02-01T00:00:00"/>
    <n v="10815466"/>
    <n v="10815466"/>
    <n v="10815.466"/>
    <s v="Sistema Antigo"/>
    <s v="Pago"/>
    <x v="98"/>
    <s v="9ª Tranche"/>
    <s v="4ª"/>
    <s v="AL"/>
    <s v="Liberações"/>
    <n v="0"/>
    <n v="0"/>
    <n v="0"/>
    <n v="0"/>
    <n v="0"/>
    <s v="LPT"/>
    <n v="0"/>
    <n v="0"/>
    <n v="0"/>
    <s v="Encerrado"/>
    <s v="09ª"/>
    <s v="EQUATORIAL"/>
    <s v="Eletrobras"/>
    <n v="0"/>
    <n v="0"/>
    <n v="0"/>
    <n v="0"/>
    <n v="0"/>
    <n v="0"/>
    <n v="0"/>
    <n v="0"/>
    <n v="0"/>
    <n v="0"/>
    <n v="0"/>
    <s v="-"/>
    <n v="0"/>
  </r>
  <r>
    <d v="2014-10-02T00:00:00"/>
    <s v="EQUATORIAL"/>
    <s v="EQUATORIAL ALAGOAS"/>
    <s v="EQUATORIAL ALAGOAS DISTRIBUIDORA DE ENERGIA S.A."/>
    <s v="12.272.084/0001-00"/>
    <s v="Programa Luz para Todos"/>
    <d v="2014-10-02T00:00:00"/>
    <n v="48669597"/>
    <n v="48669597"/>
    <n v="48669.597000000002"/>
    <d v="2014-10-02T00:00:00"/>
    <s v="Pago"/>
    <x v="98"/>
    <s v="9ª Tranche"/>
    <n v="0"/>
    <s v="AL"/>
    <s v="Liberações"/>
    <n v="0"/>
    <n v="0"/>
    <n v="0"/>
    <n v="0"/>
    <n v="0"/>
    <s v="LPT"/>
    <n v="0"/>
    <n v="0"/>
    <n v="0"/>
    <s v="Encerrado"/>
    <s v="09ª"/>
    <s v="EQUATORIAL"/>
    <s v="Eletrobras"/>
    <n v="0"/>
    <n v="0"/>
    <n v="0"/>
    <n v="0"/>
    <n v="0"/>
    <n v="0"/>
    <n v="0"/>
    <n v="0"/>
    <n v="0"/>
    <n v="0"/>
    <n v="0"/>
    <s v="-"/>
    <n v="0"/>
  </r>
  <r>
    <d v="2018-10-01T00:00:00"/>
    <s v="ENERGISA"/>
    <s v="ENERGISA RO"/>
    <s v="ENERGISA RONDONIA - DISTRIBUIDORA DE ENERGIA S.A"/>
    <s v="05.914.650/0001-66"/>
    <s v="Programa Luz para Todos"/>
    <d v="2017-10-01T00:00:00"/>
    <n v="11852604"/>
    <n v="11852604"/>
    <n v="11852.603999999999"/>
    <s v="Sistema Antigo"/>
    <s v="Pago"/>
    <x v="99"/>
    <s v="5ª Tranche"/>
    <s v="3ª"/>
    <s v="RO"/>
    <s v="Liberações"/>
    <n v="71118460"/>
    <n v="71118.460000000006"/>
    <n v="59263020"/>
    <n v="59263.02"/>
    <n v="0.83330010239254337"/>
    <s v="LPT"/>
    <n v="-6440352.4100000001"/>
    <n v="-6440.3524100000004"/>
    <n v="-0.10867405019183971"/>
    <s v="Encerrado"/>
    <s v="05ª"/>
    <s v="ENERGISA"/>
    <s v="Eletrobras"/>
    <n v="-0.10867405019183971"/>
    <n v="-6440352.4100000001"/>
    <n v="-6440.3524100000004"/>
    <n v="0"/>
    <n v="0"/>
    <n v="0"/>
    <n v="0"/>
    <n v="0"/>
    <n v="0"/>
    <n v="0"/>
    <n v="0"/>
    <s v="-"/>
    <n v="0"/>
  </r>
  <r>
    <d v="2018-11-01T00:00:00"/>
    <s v="ENERGISA"/>
    <s v="ENERGISA RO"/>
    <s v="ENERGISA RONDONIA - DISTRIBUIDORA DE ENERGIA S.A"/>
    <s v="05.914.650/0001-66"/>
    <s v="Programa Luz para Todos"/>
    <d v="2017-11-01T00:00:00"/>
    <n v="11852604"/>
    <n v="11852604"/>
    <n v="11852.603999999999"/>
    <s v="Sistema Antigo"/>
    <s v="Pago"/>
    <x v="99"/>
    <s v="5ª Tranche"/>
    <s v="4ª"/>
    <s v="RO"/>
    <s v="Liberações"/>
    <n v="0"/>
    <n v="0"/>
    <n v="0"/>
    <n v="0"/>
    <n v="0"/>
    <s v="LPT"/>
    <n v="0"/>
    <n v="0"/>
    <n v="0"/>
    <s v="Encerrado"/>
    <s v="05ª"/>
    <s v="ENERGISA"/>
    <s v="Eletrobras"/>
    <n v="0"/>
    <n v="0"/>
    <n v="0"/>
    <n v="0"/>
    <n v="0"/>
    <n v="0"/>
    <n v="0"/>
    <n v="0"/>
    <n v="0"/>
    <n v="0"/>
    <n v="0"/>
    <s v="-"/>
    <n v="0"/>
  </r>
  <r>
    <d v="2019-01-01T00:00:00"/>
    <s v="EQUATORIAL"/>
    <s v="EQUATORIAL GOIÁS"/>
    <s v="EQUATORIAL GOIAS DISTRIBUIDORA DE ENERGIA S/A"/>
    <s v="01.543.032/0001-04"/>
    <s v="Programa Luz para Todos"/>
    <d v="2019-01-01T00:00:00"/>
    <n v="15686775"/>
    <n v="15686775"/>
    <n v="15686.775"/>
    <s v="Sistema Antigo"/>
    <s v="Pago"/>
    <x v="100"/>
    <s v="4ª Tranche"/>
    <s v="2ª"/>
    <s v="GO"/>
    <s v="Liberações"/>
    <n v="27960190"/>
    <n v="27960.19"/>
    <n v="16776120"/>
    <n v="16776.12"/>
    <n v="0.60000021459081643"/>
    <s v="LPT"/>
    <n v="-1240746.0900000001"/>
    <n v="-1240.7460900000001"/>
    <n v="-7.3959061451634833E-2"/>
    <s v="Encerrado"/>
    <s v="04ª"/>
    <s v="EQUATORIAL"/>
    <s v="Eletrobras"/>
    <n v="-7.3959061451634833E-2"/>
    <n v="-1240746.0900000001"/>
    <n v="-1240.7460900000001"/>
    <n v="0"/>
    <n v="0"/>
    <n v="0"/>
    <n v="0"/>
    <n v="0"/>
    <n v="0"/>
    <n v="0"/>
    <n v="0"/>
    <s v="-"/>
    <n v="0"/>
  </r>
  <r>
    <d v="2018-01-01T00:00:00"/>
    <s v="EQUATORIAL"/>
    <s v="EQUATORIAL MARANHÃO"/>
    <s v="EQUATORIAL MARANHAO DISTRIBUIDORA DE ENERGIA S.A"/>
    <s v="06.272.793/0001-84"/>
    <s v="Programa Luz para Todos"/>
    <d v="2017-12-01T00:00:00"/>
    <n v="5301994.9177999999"/>
    <n v="5301994.9177999999"/>
    <n v="5301.9949177999997"/>
    <s v="Sistema Antigo"/>
    <s v="Pago"/>
    <x v="101"/>
    <s v="8ª Tranche"/>
    <s v="3ª"/>
    <s v="MA"/>
    <s v="Liberações"/>
    <n v="140423750"/>
    <n v="140423.75"/>
    <n v="105317810"/>
    <n v="105317.81"/>
    <n v="0.7499999821967438"/>
    <s v="LPT"/>
    <n v="-4329452.28"/>
    <n v="-4329.4522800000004"/>
    <n v="-4.1108453356559542E-2"/>
    <s v="Encerrado"/>
    <s v="08ª"/>
    <s v="EQUATORIAL"/>
    <s v="Eletrobras"/>
    <n v="-4.1108453356559542E-2"/>
    <n v="-4329452.28"/>
    <n v="-4329.4522800000004"/>
    <n v="0"/>
    <n v="0"/>
    <n v="0"/>
    <n v="0"/>
    <n v="0"/>
    <n v="0"/>
    <n v="0"/>
    <n v="0"/>
    <s v="-"/>
    <n v="0"/>
  </r>
  <r>
    <d v="2018-01-01T00:00:00"/>
    <s v="EQUATORIAL"/>
    <s v="EQUATORIAL MARANHÃO"/>
    <s v="EQUATORIAL MARANHAO DISTRIBUIDORA DE ENERGIA S.A"/>
    <s v="06.272.793/0001-84"/>
    <s v="Programa Luz para Todos"/>
    <d v="2017-12-01T00:00:00"/>
    <n v="5301994.9177999999"/>
    <n v="5301994.9177999999"/>
    <n v="5301.9949177999997"/>
    <s v="Sistema Antigo"/>
    <s v="Pago"/>
    <x v="101"/>
    <s v="8ª Tranche"/>
    <s v="4ª"/>
    <s v="MA"/>
    <s v="Liberações"/>
    <n v="0"/>
    <n v="0"/>
    <n v="0"/>
    <n v="0"/>
    <n v="0"/>
    <s v="LPT"/>
    <n v="0"/>
    <n v="0"/>
    <n v="0"/>
    <s v="Encerrado"/>
    <s v="08ª"/>
    <s v="EQUATORIAL"/>
    <s v="Eletrobras"/>
    <n v="0"/>
    <n v="0"/>
    <n v="0"/>
    <n v="0"/>
    <n v="0"/>
    <n v="0"/>
    <n v="0"/>
    <n v="0"/>
    <n v="0"/>
    <n v="0"/>
    <n v="0"/>
    <s v="-"/>
    <n v="0"/>
  </r>
  <r>
    <d v="2018-02-01T00:00:00"/>
    <s v="EQUATORIAL"/>
    <s v="EQUATORIAL PARÁ"/>
    <s v="EQUATORIAL PARA DISTRIBUIDORA DE ENERGIA S.A."/>
    <s v="04.895.728/0001-80"/>
    <s v="Programa Luz para Todos"/>
    <d v="2018-02-01T00:00:00"/>
    <n v="24375528"/>
    <n v="24375528"/>
    <n v="24375.527999999998"/>
    <s v="Sistema Antigo"/>
    <s v="Pago"/>
    <x v="102"/>
    <s v="2ª Tranche"/>
    <s v="4ª"/>
    <s v="PA"/>
    <s v="Liberações"/>
    <n v="161208160"/>
    <n v="161208.16"/>
    <n v="120906120"/>
    <n v="120906.12"/>
    <n v="0.75"/>
    <s v="LPT"/>
    <n v="-4376351.22"/>
    <n v="-4376.3512199999996"/>
    <n v="-3.6196275424271326E-2"/>
    <s v="Encerrado"/>
    <s v="02ª"/>
    <s v="EQUATORIAL"/>
    <s v="Eletrobras"/>
    <n v="-3.6196275424271326E-2"/>
    <n v="-4376351.22"/>
    <n v="-4376.3512199999996"/>
    <n v="0"/>
    <n v="0"/>
    <n v="0"/>
    <n v="0"/>
    <n v="0"/>
    <n v="0"/>
    <n v="0"/>
    <n v="0"/>
    <s v="-"/>
    <n v="0"/>
  </r>
  <r>
    <d v="2018-11-01T00:00:00"/>
    <s v="EQUATORIAL"/>
    <s v="EQUATORIAL PARÁ"/>
    <s v="EQUATORIAL PARA DISTRIBUIDORA DE ENERGIA S.A."/>
    <s v="04.895.728/0001-80"/>
    <s v="Programa Luz para Todos"/>
    <d v="2017-11-01T00:00:00"/>
    <n v="24375528"/>
    <n v="24375528"/>
    <n v="24375.527999999998"/>
    <s v="Sistema Antigo"/>
    <s v="Pago"/>
    <x v="102"/>
    <s v="2ª Tranche"/>
    <s v="2ª"/>
    <s v="PA"/>
    <s v="Liberações"/>
    <n v="0"/>
    <n v="0"/>
    <n v="0"/>
    <n v="0"/>
    <n v="0"/>
    <s v="LPT"/>
    <n v="0"/>
    <n v="0"/>
    <n v="0"/>
    <s v="Encerrado"/>
    <s v="02ª"/>
    <s v="EQUATORIAL"/>
    <s v="Eletrobras"/>
    <n v="0"/>
    <n v="0"/>
    <n v="0"/>
    <n v="0"/>
    <n v="0"/>
    <n v="0"/>
    <n v="0"/>
    <n v="0"/>
    <n v="0"/>
    <n v="0"/>
    <n v="0"/>
    <s v="-"/>
    <n v="0"/>
  </r>
  <r>
    <d v="2018-11-01T00:00:00"/>
    <s v="EQUATORIAL"/>
    <s v="EQUATORIAL PARÁ"/>
    <s v="EQUATORIAL PARA DISTRIBUIDORA DE ENERGIA S.A."/>
    <s v="04.895.728/0001-80"/>
    <s v="Programa Luz para Todos"/>
    <d v="2017-11-01T00:00:00"/>
    <n v="24375528"/>
    <n v="24375528"/>
    <n v="24375.527999999998"/>
    <s v="Sistema Antigo"/>
    <s v="Pago"/>
    <x v="102"/>
    <s v="2ª Tranche"/>
    <s v="3ª"/>
    <s v="PA"/>
    <s v="Liberações"/>
    <n v="0"/>
    <n v="0"/>
    <n v="0"/>
    <n v="0"/>
    <n v="0"/>
    <s v="LPT"/>
    <n v="0"/>
    <n v="0"/>
    <n v="0"/>
    <s v="Encerrado"/>
    <s v="02ª"/>
    <s v="EQUATORIAL"/>
    <s v="Eletrobras"/>
    <n v="0"/>
    <n v="0"/>
    <n v="0"/>
    <n v="0"/>
    <n v="0"/>
    <n v="0"/>
    <n v="0"/>
    <n v="0"/>
    <n v="0"/>
    <n v="0"/>
    <n v="0"/>
    <s v="-"/>
    <n v="0"/>
  </r>
  <r>
    <d v="2020-03-01T00:00:00"/>
    <s v="ENERGISA"/>
    <s v="ENERGISA MT"/>
    <s v="ENERGISA MATO GROSSO - DISTRIBUIDORA DE ENERGIA S.A."/>
    <s v="03.467.321/0001-99"/>
    <s v="Programa Luz para Todos"/>
    <d v="2020-03-01T00:00:00"/>
    <n v="12267570.73"/>
    <n v="12267570.73"/>
    <n v="12267.570730000001"/>
    <s v="Sistema Antigo"/>
    <s v="Pago"/>
    <x v="103"/>
    <s v="6ª Tranche"/>
    <s v="parcela final"/>
    <s v="MT"/>
    <s v="Liberações"/>
    <n v="161208160"/>
    <n v="161208.16"/>
    <n v="120906120"/>
    <n v="120906.12"/>
    <n v="0.75"/>
    <s v="LPT"/>
    <n v="0"/>
    <n v="0"/>
    <n v="0"/>
    <s v="Encerrado"/>
    <s v="06ª"/>
    <s v="ENERGISA"/>
    <s v="Eletrobras"/>
    <n v="0"/>
    <n v="0"/>
    <n v="0"/>
    <n v="0"/>
    <n v="0"/>
    <n v="0"/>
    <n v="0"/>
    <n v="0"/>
    <n v="0"/>
    <n v="0"/>
    <n v="0"/>
    <s v="-"/>
    <n v="0"/>
  </r>
  <r>
    <d v="2018-03-01T00:00:00"/>
    <s v="ENERGISA"/>
    <s v="ENERGISA AC"/>
    <s v="CENTRAIS ELETRICAS BRASILEIRAS SA ELETROBRAS"/>
    <s v="00.001.180/0002-07"/>
    <s v="Programa Luz para Todos"/>
    <d v="2018-03-01T00:00:00"/>
    <n v="71928.820000000007"/>
    <n v="71928.820000000007"/>
    <n v="71.928820000000002"/>
    <s v="Sistema Antigo"/>
    <s v="Pago"/>
    <x v="104"/>
    <s v="5ª Tranche"/>
    <s v="4ª"/>
    <s v="AC"/>
    <s v="Liberações"/>
    <n v="39960460"/>
    <n v="39960.46"/>
    <n v="35964410"/>
    <n v="35964.410000000003"/>
    <n v="0.89999989990105222"/>
    <s v="LPT"/>
    <n v="-2067451.5699999998"/>
    <n v="-2067.4515699999997"/>
    <n v="-5.7486041617254388E-2"/>
    <s v="Encerrado"/>
    <s v="05ª"/>
    <s v="ENERGISA"/>
    <s v="Eletrobras"/>
    <n v="-5.7486041617254388E-2"/>
    <n v="-2067451.5699999998"/>
    <n v="-2067.4515699999997"/>
    <n v="0"/>
    <n v="0"/>
    <n v="0"/>
    <n v="0"/>
    <n v="0"/>
    <n v="0"/>
    <n v="0"/>
    <n v="0"/>
    <s v="-"/>
    <n v="0"/>
  </r>
  <r>
    <d v="2018-03-01T00:00:00"/>
    <s v="ENERGISA"/>
    <s v="ENERGISA AC"/>
    <s v="ENERGISA ACRE - DISTRIBUIDORA DE ENERGIA S.A"/>
    <s v="04.065.033/0001-70"/>
    <s v="Programa Luz para Todos"/>
    <d v="2018-03-01T00:00:00"/>
    <n v="7120953.1799999997"/>
    <n v="7120953.1799999997"/>
    <n v="7120.9531799999995"/>
    <s v="Sistema Antigo"/>
    <s v="Pago"/>
    <x v="104"/>
    <s v="5ª Tranche"/>
    <s v="4ª"/>
    <s v="AC"/>
    <s v="Liberações"/>
    <n v="0"/>
    <n v="0"/>
    <n v="0"/>
    <n v="0"/>
    <n v="0"/>
    <s v="LPT"/>
    <n v="0"/>
    <n v="0"/>
    <n v="0"/>
    <s v="Encerrado"/>
    <s v="05ª"/>
    <s v="ENERGISA"/>
    <s v="Eletrobras"/>
    <n v="0"/>
    <n v="0"/>
    <n v="0"/>
    <n v="0"/>
    <n v="0"/>
    <n v="0"/>
    <n v="0"/>
    <n v="0"/>
    <n v="0"/>
    <n v="0"/>
    <n v="0"/>
    <s v="-"/>
    <n v="0"/>
  </r>
  <r>
    <d v="2018-09-01T00:00:00"/>
    <s v="ENERGISA"/>
    <s v="ENERGISA AC"/>
    <s v="ENERGISA ACRE - DISTRIBUIDORA DE ENERGIA S.A"/>
    <s v="04.065.033/0001-70"/>
    <s v="Programa Luz para Todos"/>
    <d v="2018-09-01T00:00:00"/>
    <n v="7194773.9999999991"/>
    <n v="7194773.9999999991"/>
    <n v="7194.7739999999994"/>
    <s v="Sistema Antigo"/>
    <s v="Pago"/>
    <x v="105"/>
    <s v="6ª Tranche"/>
    <s v="2ª"/>
    <s v="AC"/>
    <s v="Liberações"/>
    <n v="39970950"/>
    <n v="39970.949999999997"/>
    <n v="35973860"/>
    <n v="35973.86"/>
    <n v="0.90000012509084726"/>
    <s v="LPT"/>
    <n v="-3430746.6999999997"/>
    <n v="-3430.7466999999997"/>
    <n v="-9.5367767039733847E-2"/>
    <s v="Encerrado"/>
    <s v="06ª"/>
    <s v="ENERGISA"/>
    <s v="Eletrobras"/>
    <n v="-9.5367767039733847E-2"/>
    <n v="-3430746.6999999997"/>
    <n v="-3430.7466999999997"/>
    <n v="0"/>
    <n v="0"/>
    <n v="0"/>
    <n v="0"/>
    <n v="0"/>
    <n v="0"/>
    <n v="0"/>
    <n v="0"/>
    <s v="-"/>
    <n v="0"/>
  </r>
  <r>
    <d v="2020-07-01T00:00:00"/>
    <s v="ENERGISA"/>
    <s v="ENERGISA AC"/>
    <s v="ENERGISA ACRE - DISTRIBUIDORA DE ENERGIA S.A"/>
    <s v="04.065.033/0001-70"/>
    <s v="Programa Luz para Todos"/>
    <d v="2020-07-01T00:00:00"/>
    <n v="7194774"/>
    <n v="7194774"/>
    <n v="7194.7740000000003"/>
    <s v="Sistema Antigo"/>
    <s v="Pago"/>
    <x v="105"/>
    <s v="6ª Tranche"/>
    <s v="3ª"/>
    <s v="AC"/>
    <s v="Liberações"/>
    <n v="0"/>
    <n v="0"/>
    <n v="0"/>
    <n v="0"/>
    <n v="0"/>
    <s v="LPT"/>
    <n v="0"/>
    <n v="0"/>
    <n v="0"/>
    <s v="Encerrado"/>
    <s v="06ª"/>
    <s v="ENERGISA"/>
    <s v="Eletrobras"/>
    <n v="0"/>
    <n v="0"/>
    <n v="0"/>
    <n v="0"/>
    <n v="0"/>
    <n v="0"/>
    <n v="0"/>
    <n v="0"/>
    <n v="0"/>
    <n v="0"/>
    <n v="0"/>
    <s v="-"/>
    <n v="0"/>
  </r>
  <r>
    <d v="2020-07-01T00:00:00"/>
    <s v="ENERGISA"/>
    <s v="ENERGISA AC"/>
    <s v="ENERGISA ACRE - DISTRIBUIDORA DE ENERGIA S.A"/>
    <s v="04.065.033/0001-70"/>
    <s v="Programa Luz para Todos"/>
    <d v="2020-07-01T00:00:00"/>
    <n v="7194774"/>
    <n v="7194774"/>
    <n v="7194.7740000000003"/>
    <s v="Sistema Antigo"/>
    <s v="Pago"/>
    <x v="105"/>
    <s v="6ª Tranche"/>
    <s v="4ª"/>
    <s v="AC"/>
    <s v="Liberações"/>
    <n v="0"/>
    <n v="0"/>
    <n v="0"/>
    <n v="0"/>
    <n v="0"/>
    <s v="LPT"/>
    <n v="0"/>
    <n v="0"/>
    <n v="0"/>
    <s v="Encerrado"/>
    <s v="06ª"/>
    <s v="ENERGISA"/>
    <s v="Eletrobras"/>
    <n v="0"/>
    <n v="0"/>
    <n v="0"/>
    <n v="0"/>
    <n v="0"/>
    <n v="0"/>
    <n v="0"/>
    <n v="0"/>
    <n v="0"/>
    <n v="0"/>
    <n v="0"/>
    <s v="-"/>
    <n v="0"/>
  </r>
  <r>
    <d v="2020-05-01T00:00:00"/>
    <s v="NEOENERGIA "/>
    <s v="COELBA"/>
    <s v="COMPANHIA DE ELETRICIDADE DO ESTADO DA BAHIA COELBA"/>
    <s v="15.139.629/0001-94"/>
    <s v="Programa Luz para Todos"/>
    <d v="2020-05-01T00:00:00"/>
    <n v="10876567.68"/>
    <n v="10876567.68"/>
    <n v="10876.56768"/>
    <s v="Sistema Antigo"/>
    <s v="Pago"/>
    <x v="106"/>
    <s v="8ª Tranche"/>
    <s v="parcela final"/>
    <s v="BA"/>
    <s v="Liberações"/>
    <n v="685321240"/>
    <n v="685321.24"/>
    <n v="513990930"/>
    <n v="513990.93"/>
    <n v="0.75"/>
    <s v="LPT"/>
    <n v="0"/>
    <n v="0"/>
    <n v="0"/>
    <s v="Encerrado"/>
    <s v="08ª"/>
    <s v="NEOENERGIA "/>
    <s v="Eletrobras"/>
    <n v="0"/>
    <n v="0"/>
    <n v="0"/>
    <n v="0"/>
    <n v="0"/>
    <n v="0"/>
    <n v="0"/>
    <n v="0"/>
    <n v="0"/>
    <n v="0"/>
    <n v="0"/>
    <s v="-"/>
    <n v="0"/>
  </r>
  <r>
    <d v="2017-09-01T00:00:00"/>
    <s v="AMAZONAS ENERGIA"/>
    <s v="AMAZONAS ENERGIA"/>
    <s v="CENTRAIS ELETRICAS BRASILEIRAS SA ELETROBRAS"/>
    <s v="00.001.180/0002-07"/>
    <s v="Programa Luz para Todos"/>
    <d v="2017-09-01T00:00:00"/>
    <n v="2032964.3"/>
    <n v="2032964.3"/>
    <n v="2032.9643000000001"/>
    <s v="Sistema Antigo"/>
    <s v="Pago"/>
    <x v="107"/>
    <s v="8ª Tranche"/>
    <s v="1ª"/>
    <s v="AM"/>
    <s v="Liberações"/>
    <n v="203296380"/>
    <n v="203296.38"/>
    <n v="182966740"/>
    <n v="182966.74"/>
    <n v="0.89999999016214649"/>
    <s v="LPT"/>
    <n v="0"/>
    <n v="0"/>
    <n v="0"/>
    <s v="Encerrado"/>
    <s v="08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17-09-01T00:00:00"/>
    <s v="AMAZONAS ENERGIA"/>
    <s v="AMAZONAS ENERGIA"/>
    <s v="AMAZONAS ENERGIA S.A"/>
    <s v="02.341.467/0001-20"/>
    <s v="Programa Luz para Todos"/>
    <d v="2017-09-01T00:00:00"/>
    <n v="52857072.700000003"/>
    <n v="52857072.700000003"/>
    <n v="52857.072700000004"/>
    <s v="Sistema Antigo"/>
    <s v="Pago"/>
    <x v="107"/>
    <s v="8ª Tranche"/>
    <s v="1ª"/>
    <s v="AM"/>
    <s v="Liberações"/>
    <n v="0"/>
    <n v="0"/>
    <n v="0"/>
    <n v="0"/>
    <n v="0"/>
    <s v="LPT"/>
    <n v="0"/>
    <n v="0"/>
    <n v="0"/>
    <s v="Encerrado"/>
    <s v="08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18-01-01T00:00:00"/>
    <s v="AMAZONAS ENERGIA"/>
    <s v="AMAZONAS ENERGIA"/>
    <s v="AMAZONAS ENERGIA S.A"/>
    <s v="02.341.467/0001-20"/>
    <s v="Programa Luz para Todos"/>
    <d v="2018-01-01T00:00:00"/>
    <n v="34663901.340000004"/>
    <n v="34663901.340000004"/>
    <n v="34663.901340000004"/>
    <s v="Sistema Antigo"/>
    <s v="Pago"/>
    <x v="107"/>
    <s v="8ª Tranche"/>
    <s v="2ª"/>
    <s v="AM"/>
    <s v="Liberações"/>
    <n v="0"/>
    <n v="0"/>
    <n v="0"/>
    <n v="0"/>
    <n v="0"/>
    <s v="LPT"/>
    <n v="0"/>
    <n v="0"/>
    <n v="0"/>
    <s v="Encerrado"/>
    <s v="08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18-02-01T00:00:00"/>
    <s v="AMAZONAS ENERGIA"/>
    <s v="AMAZONAS ENERGIA"/>
    <s v="AMAZONAS ENERGIA S.A"/>
    <s v="02.341.467/0001-20"/>
    <s v="Programa Luz para Todos"/>
    <d v="2018-01-01T00:00:00"/>
    <n v="1929456.6640000001"/>
    <n v="1929456.6640000001"/>
    <n v="1929.456664"/>
    <s v="Sistema Antigo"/>
    <s v="Pago"/>
    <x v="107"/>
    <s v="8ª Tranche"/>
    <s v="2ª"/>
    <s v="AM"/>
    <s v="Liberações"/>
    <n v="0"/>
    <n v="0"/>
    <n v="0"/>
    <n v="0"/>
    <n v="0"/>
    <s v="LPT"/>
    <n v="0"/>
    <n v="0"/>
    <n v="0"/>
    <s v="Encerrado"/>
    <s v="08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18-04-01T00:00:00"/>
    <s v="AMAZONAS ENERGIA"/>
    <s v="AMAZONAS ENERGIA"/>
    <s v="AMAZONAS ENERGIA S.A"/>
    <s v="02.341.467/0001-20"/>
    <s v="Programa Luz para Todos"/>
    <d v="2018-04-01T00:00:00"/>
    <n v="36593358"/>
    <n v="36593358"/>
    <n v="36593.358"/>
    <s v="Sistema Antigo"/>
    <s v="Pago"/>
    <x v="107"/>
    <s v="8ª Tranche"/>
    <s v="3ª "/>
    <s v="AM"/>
    <s v="Liberações"/>
    <n v="0"/>
    <n v="0"/>
    <n v="0"/>
    <n v="0"/>
    <n v="0"/>
    <s v="LPT"/>
    <n v="0"/>
    <n v="0"/>
    <n v="0"/>
    <s v="Encerrado"/>
    <s v="08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18-05-01T00:00:00"/>
    <s v="AMAZONAS ENERGIA"/>
    <s v="AMAZONAS ENERGIA"/>
    <s v="AMAZONAS ENERGIA S.A"/>
    <s v="02.341.467/0001-20"/>
    <s v="Programa Luz para Todos"/>
    <d v="2018-05-01T00:00:00"/>
    <n v="36593358"/>
    <n v="36593358"/>
    <n v="36593.358"/>
    <s v="Sistema Antigo"/>
    <s v="Pago"/>
    <x v="107"/>
    <s v="8ª Tranche"/>
    <s v="4ª"/>
    <s v="AM"/>
    <s v="Liberações"/>
    <n v="0"/>
    <n v="0"/>
    <n v="0"/>
    <n v="0"/>
    <n v="0"/>
    <s v="LPT"/>
    <n v="0"/>
    <n v="0"/>
    <n v="0"/>
    <s v="Encerrado"/>
    <s v="08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23-10-01T00:00:00"/>
    <s v="AMAZONAS ENERGIA"/>
    <s v="AMAZONAS ENERGIA"/>
    <s v="AMAZONAS ENERGIA S.A"/>
    <s v="02.341.467/0001-20"/>
    <s v="Programa Luz para Todos"/>
    <d v="2023-10-02T00:00:00"/>
    <n v="13529704.880000001"/>
    <n v="13529704.880000001"/>
    <n v="13529.704880000001"/>
    <d v="2023-10-11T00:00:00"/>
    <s v="Pago"/>
    <x v="107"/>
    <s v="8ª Tranche"/>
    <s v="parcela final"/>
    <s v="AM"/>
    <s v="Liberações"/>
    <n v="0"/>
    <n v="0"/>
    <n v="0"/>
    <n v="0"/>
    <n v="0"/>
    <s v="LPT"/>
    <n v="0"/>
    <n v="0"/>
    <n v="0"/>
    <s v="Encerrado"/>
    <s v="08ª"/>
    <s v="AMAZONAS ENERGIA"/>
    <s v="Eletrobras"/>
    <n v="0"/>
    <n v="0"/>
    <n v="0"/>
    <n v="0"/>
    <n v="0"/>
    <n v="0"/>
    <n v="0"/>
    <n v="0"/>
    <n v="0"/>
    <n v="0"/>
    <n v="0"/>
    <s v="-"/>
    <n v="0"/>
  </r>
  <r>
    <d v="2018-02-01T00:00:00"/>
    <s v="EQUATORIAL"/>
    <s v="EQUATORIAL PARÁ"/>
    <s v="EQUATORIAL PARA DISTRIBUIDORA DE ENERGIA S.A."/>
    <s v="04.895.728/0001-80"/>
    <s v="Programa Luz para Todos"/>
    <d v="2018-02-01T00:00:00"/>
    <n v="11185618"/>
    <n v="11185618"/>
    <n v="11185.618"/>
    <s v="Sistema Antigo"/>
    <s v="Pago"/>
    <x v="108"/>
    <s v="1ª Tranche"/>
    <s v="2ª"/>
    <s v="PA"/>
    <s v="Liberações"/>
    <n v="62141700"/>
    <n v="62141.7"/>
    <n v="55928090"/>
    <n v="55928.09"/>
    <n v="0.90000901166205627"/>
    <s v="LPT"/>
    <n v="0"/>
    <n v="0"/>
    <n v="0"/>
    <s v="Encerrado"/>
    <s v="01ª"/>
    <s v="EQUATORIAL"/>
    <s v="Eletrobras"/>
    <n v="0"/>
    <n v="0"/>
    <n v="0"/>
    <n v="0"/>
    <n v="0"/>
    <n v="0"/>
    <n v="0"/>
    <n v="0"/>
    <n v="0"/>
    <n v="0"/>
    <n v="0"/>
    <s v="-"/>
    <n v="0"/>
  </r>
  <r>
    <d v="2018-02-01T00:00:00"/>
    <s v="EQUATORIAL"/>
    <s v="EQUATORIAL PARÁ"/>
    <s v="EQUATORIAL PARA DISTRIBUIDORA DE ENERGIA S.A."/>
    <s v="04.895.728/0001-80"/>
    <s v="Programa Luz para Todos"/>
    <d v="2018-02-01T00:00:00"/>
    <n v="11185618"/>
    <n v="11185618"/>
    <n v="11185.618"/>
    <s v="Sistema Antigo"/>
    <s v="Pago"/>
    <x v="108"/>
    <s v="1ª Tranche"/>
    <s v="3ª "/>
    <s v="PA"/>
    <s v="Liberações"/>
    <n v="0"/>
    <n v="0"/>
    <n v="0"/>
    <n v="0"/>
    <n v="0"/>
    <s v="LPT"/>
    <n v="0"/>
    <n v="0"/>
    <n v="0"/>
    <s v="Encerrado"/>
    <s v="01ª"/>
    <s v="EQUATORIAL"/>
    <s v="Eletrobras"/>
    <n v="0"/>
    <n v="0"/>
    <n v="0"/>
    <n v="0"/>
    <n v="0"/>
    <n v="0"/>
    <n v="0"/>
    <n v="0"/>
    <n v="0"/>
    <n v="0"/>
    <n v="0"/>
    <s v="-"/>
    <n v="0"/>
  </r>
  <r>
    <d v="2020-06-01T00:00:00"/>
    <s v="EQUATORIAL"/>
    <s v="EQUATORIAL GOIÁS"/>
    <s v="CENTRAIS ELETRICAS BRASILEIRAS SA ELETROBRAS"/>
    <s v="00.001.180/0002-07"/>
    <s v="Programa Luz para Todos"/>
    <d v="2020-06-01T00:00:00"/>
    <n v="27196.15"/>
    <n v="27196.15"/>
    <n v="27.196150000000003"/>
    <s v="Sistema Antigo"/>
    <s v="Pago"/>
    <x v="109"/>
    <s v="3ª Tranche"/>
    <s v="parcela final"/>
    <s v="GO"/>
    <s v="Liberações"/>
    <n v="144451950"/>
    <n v="144451.95000000001"/>
    <n v="108616760"/>
    <n v="108616.76"/>
    <n v="0.75192311353360064"/>
    <s v="LPT"/>
    <n v="0"/>
    <n v="0"/>
    <n v="0"/>
    <s v="Encerrado"/>
    <s v="03ª"/>
    <s v="EQUATORIAL"/>
    <s v="Eletrobras"/>
    <n v="0"/>
    <n v="0"/>
    <n v="0"/>
    <n v="0"/>
    <n v="0"/>
    <n v="0"/>
    <n v="0"/>
    <n v="0"/>
    <n v="0"/>
    <n v="0"/>
    <n v="0"/>
    <s v="-"/>
    <n v="0"/>
  </r>
  <r>
    <d v="2020-06-01T00:00:00"/>
    <s v="EQUATORIAL"/>
    <s v="EQUATORIAL GOIÁS"/>
    <s v="EQUATORIAL GOIAS DISTRIBUIDORA DE ENERGIA S/A"/>
    <s v="01.543.032/0001-04"/>
    <s v="Programa Luz para Todos"/>
    <d v="2020-06-01T00:00:00"/>
    <n v="2692419.17"/>
    <n v="2692419.17"/>
    <n v="2692.4191700000001"/>
    <s v="Sistema Antigo"/>
    <s v="Pago"/>
    <x v="109"/>
    <s v="3ª Tranche"/>
    <s v="parcela final"/>
    <s v="GO"/>
    <s v="Liberações"/>
    <n v="0"/>
    <n v="0"/>
    <n v="0"/>
    <n v="0"/>
    <n v="0"/>
    <s v="LPT"/>
    <n v="0"/>
    <n v="0"/>
    <n v="0"/>
    <s v="Encerrado"/>
    <s v="03ª"/>
    <s v="EQUATORIAL"/>
    <s v="Eletrobras"/>
    <n v="0"/>
    <n v="0"/>
    <n v="0"/>
    <n v="0"/>
    <n v="0"/>
    <n v="0"/>
    <n v="0"/>
    <n v="0"/>
    <n v="0"/>
    <n v="0"/>
    <n v="0"/>
    <s v="-"/>
    <n v="0"/>
  </r>
  <r>
    <d v="2026-04-01T00:00:00"/>
    <s v="ÂMBAR"/>
    <s v="ÂMBAR AMAZONAS"/>
    <s v="ÂMBAR ENERGIA AMAZONAS S.A."/>
    <s v="02.341.467/0001-20"/>
    <s v="Programa Luz para Todos"/>
    <d v="2026-04-01T00:00:00"/>
    <n v="114434829"/>
    <n v="114434829"/>
    <n v="114434.829"/>
    <d v="2026-05-08T00:00:00"/>
    <s v="Pago"/>
    <x v="110"/>
    <s v="11ª Tranche"/>
    <s v="1ª"/>
    <s v="AM"/>
    <s v="Liberações"/>
    <n v="423832700"/>
    <n v="423832.7"/>
    <n v="381449430"/>
    <n v="381449.43"/>
    <n v="0.9"/>
    <s v="LPT"/>
    <n v="0"/>
    <n v="0"/>
    <n v="0"/>
    <s v="Andamento"/>
    <s v="11ª"/>
    <s v="ÂMBAR"/>
    <s v="ENBPar"/>
    <n v="0"/>
    <n v="0"/>
    <n v="0"/>
    <n v="0"/>
    <n v="0"/>
    <n v="385328810"/>
    <n v="385328.81"/>
    <n v="0.90900000000000003"/>
    <n v="38503890"/>
    <n v="38503.89"/>
    <n v="9.0999999999999998E-2"/>
    <s v="-"/>
    <n v="0"/>
  </r>
  <r>
    <d v="2026-04-01T00:00:00"/>
    <s v="ÂMBAR"/>
    <s v="ÂMBAR AMAZONAS"/>
    <s v="ÂMBAR ENERGIA AMAZONAS S.A."/>
    <s v="02.341.467/0001-20"/>
    <s v="Programa Luz para Todos"/>
    <d v="2026-04-01T00:00:00"/>
    <n v="97762329"/>
    <n v="97762329"/>
    <n v="97762.328999999998"/>
    <d v="2026-05-08T00:00:00"/>
    <s v="Pago"/>
    <x v="111"/>
    <s v="3ª Tranche"/>
    <s v="1ª"/>
    <s v="AM"/>
    <s v="Liberações"/>
    <n v="362082700"/>
    <n v="362082.7"/>
    <n v="325874430"/>
    <n v="325874.43"/>
    <n v="0.9"/>
    <s v="MLA"/>
    <n v="0"/>
    <n v="0"/>
    <n v="0"/>
    <s v="Andamento"/>
    <s v="03ª"/>
    <s v="ÂMBAR"/>
    <s v="ENBPar"/>
    <n v="0"/>
    <n v="0"/>
    <n v="0"/>
    <n v="0"/>
    <n v="0"/>
    <n v="329177050"/>
    <n v="329177.05"/>
    <n v="0.90900000000000003"/>
    <n v="32905650"/>
    <n v="32905.65"/>
    <n v="9.0999999999999998E-2"/>
    <s v="-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4F56D-2941-4E0E-9DA8-7BC85DEC2EE1}" name="Tabela dinâmica1" cacheId="12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4" firstHeaderRow="0" firstDataRow="1" firstDataCol="0"/>
  <pivotFields count="26">
    <pivotField numFmtId="17" showAll="0"/>
    <pivotField showAll="0"/>
    <pivotField showAll="0"/>
    <pivotField showAll="0"/>
    <pivotField showAll="0"/>
    <pivotField showAll="0"/>
    <pivotField numFmtId="165" showAll="0"/>
    <pivotField showAll="0"/>
    <pivotField numFmtId="43"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a de Valor Contrato Mil" fld="18" baseField="0" baseItem="0"/>
    <dataField name="Soma de Valor CDE Mil" fld="20" baseField="0" baseItem="0"/>
    <dataField name="Soma de Participação CDE %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6D0F4-1CE4-4BB3-88B5-DDA2FDFD02EA}" name="Tabela dinâmica1" cacheId="12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16" firstHeaderRow="0" firstDataRow="1" firstDataCol="1"/>
  <pivotFields count="43">
    <pivotField numFmtId="17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7" showAll="0"/>
    <pivotField showAll="0"/>
    <pivotField showAll="0"/>
    <pivotField axis="axisRow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showAll="0"/>
    <pivotField showAll="0"/>
    <pivotField showAll="0"/>
    <pivotField showAll="0"/>
    <pivotField numFmtId="43" showAll="0"/>
    <pivotField dataField="1" showAll="0"/>
    <pivotField numFmtId="43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43"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10" showAll="0"/>
  </pivotFields>
  <rowFields count="1">
    <field x="12"/>
  </rowFields>
  <rowItems count="1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Valor Contrato Mil" fld="18" baseField="0" baseItem="0"/>
    <dataField name="Soma de Valor CDE Mil" fld="20" baseField="0" baseItem="0"/>
    <dataField name="Soma de Valor Pago  Mil " fld="9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0D1F4-0059-4869-B0E5-8AA01E10F91A}" name="Base" displayName="Base" ref="A1:AQ339" totalsRowShown="0" headerRowDxfId="45" dataDxfId="44" tableBorderDxfId="43" headerRowCellStyle="Vírgula" dataCellStyle="Vírgula">
  <autoFilter ref="A1:AQ339" xr:uid="{1528314E-623A-4F6B-9C26-75F7289765C0}">
    <filterColumn colId="15">
      <filters>
        <filter val="MT"/>
      </filters>
    </filterColumn>
  </autoFilter>
  <tableColumns count="43">
    <tableColumn id="1" xr3:uid="{548DC266-C209-4C13-8AE1-60CB1ADA8541}" name="Mês Caixa" dataDxfId="42"/>
    <tableColumn id="2" xr3:uid="{3DFCC50C-9315-4561-A0D3-1286918EAB36}" name="Distribuidoras" dataDxfId="41"/>
    <tableColumn id="3" xr3:uid="{AB94DB79-1DD0-4DA8-89EC-5487FA2B4101}" name="Sigla" dataDxfId="40"/>
    <tableColumn id="4" xr3:uid="{86887BF8-E967-4650-9381-DD96E74AE658}" name="Razão Social" dataDxfId="39"/>
    <tableColumn id="5" xr3:uid="{590CD0CA-BB01-4394-880F-99DA68AF1666}" name="CNPJ" dataDxfId="38"/>
    <tableColumn id="6" xr3:uid="{0E13FB9B-12C3-4A6B-8809-E332F79FB748}" name="Rubrica" dataDxfId="37"/>
    <tableColumn id="7" xr3:uid="{58FEDC57-6B43-4D68-B938-C3D2B31FDE6B}" name="Competência" dataDxfId="36"/>
    <tableColumn id="8" xr3:uid="{FBEADCCB-2422-4DC0-A692-096734AA9A4C}" name="Valor para Pagamento " dataDxfId="35" dataCellStyle="Vírgula"/>
    <tableColumn id="9" xr3:uid="{F387D430-8D09-4F0F-AF83-92C2A331B3CC}" name="Valor Pago" dataDxfId="34" dataCellStyle="Vírgula"/>
    <tableColumn id="10" xr3:uid="{5C47EDE2-2A54-49E3-9332-AA0C855D4B23}" name="Valor Pago  Mil " dataDxfId="33" dataCellStyle="Vírgula">
      <calculatedColumnFormula>I2/1000</calculatedColumnFormula>
    </tableColumn>
    <tableColumn id="11" xr3:uid="{5E9F3533-C614-43A6-BCF7-750B638FE4EF}" name="Data do Pagamento" dataDxfId="32" dataCellStyle="Moeda"/>
    <tableColumn id="12" xr3:uid="{3A919F95-3169-4F9A-8CC6-8C9D8B86F56A}" name="Status" dataDxfId="31" dataCellStyle="Vírgula 2"/>
    <tableColumn id="13" xr3:uid="{2CDCE49A-1EEF-47F4-ABD7-A66C27414DA7}" name="Numero do Contrato " dataDxfId="30" dataCellStyle="Vírgula 2"/>
    <tableColumn id="14" xr3:uid="{9B87A64C-AFBD-40E0-B00C-8BB471A3BA63}" name="Tranche" dataDxfId="29" dataCellStyle="Vírgula 2"/>
    <tableColumn id="15" xr3:uid="{4BBAD07D-7720-442C-A24E-6FAC7E389C81}" name="Parcela" dataDxfId="28" dataCellStyle="Vírgula 2"/>
    <tableColumn id="16" xr3:uid="{7E0A1967-781A-4D78-A76A-E70966D0E1EE}" name="UF" dataDxfId="27" dataCellStyle="Vírgula 2"/>
    <tableColumn id="17" xr3:uid="{79727699-BC4B-4215-A215-97CAAB100EAB}" name="Classificação " dataDxfId="26"/>
    <tableColumn id="18" xr3:uid="{48960D5C-2CA0-4D90-A56E-E1C31BD29D4B}" name="Valor Contrato" dataDxfId="25" dataCellStyle="Vírgula"/>
    <tableColumn id="19" xr3:uid="{6E38D6C1-C03B-483E-90FC-8F54BF1788CD}" name="Valor Contrato Mil" dataDxfId="24" dataCellStyle="Vírgula">
      <calculatedColumnFormula>R2/1000</calculatedColumnFormula>
    </tableColumn>
    <tableColumn id="20" xr3:uid="{B39833A1-C067-4186-8AA4-4FA8293093FD}" name="Valor CDE" dataDxfId="23" dataCellStyle="Vírgula"/>
    <tableColumn id="21" xr3:uid="{ECB3522A-819A-48ED-B1B9-DF3FAA93A3FA}" name="Valor CDE Mil" dataDxfId="22" dataCellStyle="Vírgula">
      <calculatedColumnFormula>T2/1000</calculatedColumnFormula>
    </tableColumn>
    <tableColumn id="22" xr3:uid="{B4AEBACF-8BED-4BB3-9B8B-EC5B7ABEF663}" name="Participação CDE %" dataDxfId="21" dataCellStyle="Porcentagem"/>
    <tableColumn id="23" xr3:uid="{41E07919-38B7-4915-BB78-0AE29E565B27}" name="Tipo do Contrato " dataDxfId="20"/>
    <tableColumn id="24" xr3:uid="{DAE6E8B3-101A-40B2-B0C9-A866364E5F79}" name="Valor Devolvido com Selic" dataDxfId="19" dataCellStyle="Vírgula"/>
    <tableColumn id="25" xr3:uid="{DA49A0CA-1FC3-44B7-A101-9FE4D0960895}" name="Devoluçã Mil Selic " dataDxfId="18" dataCellStyle="Vírgula">
      <calculatedColumnFormula>X2/1000</calculatedColumnFormula>
    </tableColumn>
    <tableColumn id="26" xr3:uid="{8C83C158-78F6-4F96-A2A5-AA2DC41FAB34}" name="% Devoluação Selic " dataDxfId="17"/>
    <tableColumn id="27" xr3:uid="{CA6F4F28-EC41-445A-9C3B-8C3AE576FED0}" name="Status2" dataDxfId="16"/>
    <tableColumn id="28" xr3:uid="{33D9DC7F-8891-4E69-ADFB-BFE153E1A2B6}" name="Tranche II" dataDxfId="15"/>
    <tableColumn id="29" xr3:uid="{C2C6DAB3-8729-4C55-BF43-CF4DD1E69136}" name="Abertura Distribuidora" dataDxfId="14">
      <calculatedColumnFormula>B2</calculatedColumnFormula>
    </tableColumn>
    <tableColumn id="30" xr3:uid="{C3E265CB-7AD3-42B4-9189-24E9495FEB03}" name="Responsavel do Contrato " dataDxfId="13"/>
    <tableColumn id="31" xr3:uid="{43084B1E-DDB8-4076-8FC6-72EA00BD6457}" name="Glosa Total com a Parcela Faltante" dataDxfId="12" dataCellStyle="Porcentagem"/>
    <tableColumn id="32" xr3:uid="{DBACAA56-B5FA-48A7-98B0-9BE4CC563BE8}" name="Valor Principal" dataDxfId="11" dataCellStyle="Vírgula"/>
    <tableColumn id="33" xr3:uid="{A8DD2D19-7488-4C3F-92A4-9FC7B52D66D9}" name="Valor Principal MIL " dataDxfId="10" dataCellStyle="Vírgula"/>
    <tableColumn id="34" xr3:uid="{E7031CF6-C367-4671-9E99-507544800ED0}" name="Parcela Final " dataDxfId="9" dataCellStyle="Vírgula"/>
    <tableColumn id="35" xr3:uid="{939236B0-1737-4B4E-801F-B02F02293005}" name="Glosa em Mil " dataDxfId="8" dataCellStyle="Vírgula"/>
    <tableColumn id="36" xr3:uid="{34FB5285-1819-4A08-A0A5-7269B32C79C5}" name="Custo Direto " dataDxfId="7" dataCellStyle="Vírgula"/>
    <tableColumn id="37" xr3:uid="{8683AFB9-E975-4143-A2DC-CE0FEBD5FFBC}" name="Custo Direto  Mil " dataDxfId="6" dataCellStyle="Vírgula"/>
    <tableColumn id="38" xr3:uid="{2ADB6D8D-F0A1-4FAE-A28C-B792441636F8}" name="Custo Direto %" dataDxfId="5" dataCellStyle="Vírgula"/>
    <tableColumn id="39" xr3:uid="{95FA8623-98CF-4362-9379-ED542F998690}" name="Custo Indireto " dataDxfId="4" dataCellStyle="Vírgula"/>
    <tableColumn id="40" xr3:uid="{11567D8A-9B95-4BE2-B178-C3A4D0F8A2BF}" name="Custo Indireto  Mil " dataDxfId="3" dataCellStyle="Vírgula"/>
    <tableColumn id="41" xr3:uid="{49901C0B-5A71-43CE-8EE8-C82650B98CD7}" name="Custo Indireto  %" dataDxfId="2" dataCellStyle="Vírgula"/>
    <tableColumn id="42" xr3:uid="{BE50261C-6294-440F-AA92-12566F6D5933}" name="Observação" dataDxfId="1"/>
    <tableColumn id="43" xr3:uid="{CB67DE66-1AE5-46FA-AD49-1DABB442E31C}" name="Avanço Fisico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7EB3-0AEC-40DC-8BDA-D615FABE2979}">
  <dimension ref="A3:F123"/>
  <sheetViews>
    <sheetView workbookViewId="0">
      <selection activeCell="F7" sqref="F7"/>
    </sheetView>
  </sheetViews>
  <sheetFormatPr defaultRowHeight="15"/>
  <cols>
    <col min="1" max="1" width="25.7109375" bestFit="1" customWidth="1"/>
    <col min="2" max="2" width="21.5703125" style="1" bestFit="1" customWidth="1"/>
    <col min="3" max="3" width="27.140625" style="1" bestFit="1" customWidth="1"/>
    <col min="4" max="4" width="25" style="56" bestFit="1" customWidth="1"/>
    <col min="5" max="5" width="19.5703125" style="1" bestFit="1" customWidth="1"/>
    <col min="6" max="6" width="12.42578125" style="56" bestFit="1" customWidth="1"/>
  </cols>
  <sheetData>
    <row r="3" spans="1:6">
      <c r="A3" t="s">
        <v>0</v>
      </c>
      <c r="B3" t="s">
        <v>1</v>
      </c>
      <c r="C3" t="s">
        <v>2</v>
      </c>
      <c r="D3"/>
      <c r="E3"/>
      <c r="F3"/>
    </row>
    <row r="4" spans="1:6">
      <c r="A4">
        <v>22623834.609999999</v>
      </c>
      <c r="B4">
        <v>18295127.596000001</v>
      </c>
      <c r="C4">
        <v>88.069311639074698</v>
      </c>
      <c r="D4"/>
      <c r="E4"/>
      <c r="F4"/>
    </row>
    <row r="5" spans="1:6">
      <c r="B5"/>
      <c r="C5"/>
      <c r="D5"/>
      <c r="E5"/>
      <c r="F5"/>
    </row>
    <row r="6" spans="1:6">
      <c r="B6"/>
      <c r="C6"/>
      <c r="D6"/>
      <c r="E6"/>
      <c r="F6"/>
    </row>
    <row r="7" spans="1:6">
      <c r="B7"/>
      <c r="C7"/>
      <c r="D7"/>
      <c r="E7"/>
      <c r="F7"/>
    </row>
    <row r="8" spans="1:6">
      <c r="B8"/>
      <c r="C8"/>
      <c r="D8"/>
      <c r="E8"/>
      <c r="F8"/>
    </row>
    <row r="9" spans="1:6">
      <c r="B9"/>
      <c r="C9"/>
      <c r="D9"/>
      <c r="E9"/>
      <c r="F9"/>
    </row>
    <row r="10" spans="1:6">
      <c r="B10"/>
      <c r="C10"/>
      <c r="D10"/>
      <c r="E10"/>
      <c r="F10"/>
    </row>
    <row r="11" spans="1:6">
      <c r="B11"/>
      <c r="C11"/>
      <c r="D11"/>
      <c r="E11"/>
      <c r="F11"/>
    </row>
    <row r="12" spans="1:6">
      <c r="B12"/>
      <c r="C12"/>
      <c r="D12"/>
      <c r="E12"/>
      <c r="F12"/>
    </row>
    <row r="13" spans="1:6">
      <c r="B13"/>
      <c r="C13"/>
      <c r="D13"/>
      <c r="E13"/>
      <c r="F13"/>
    </row>
    <row r="14" spans="1:6">
      <c r="B14"/>
      <c r="C14"/>
      <c r="D14"/>
      <c r="E14"/>
      <c r="F14"/>
    </row>
    <row r="15" spans="1:6">
      <c r="B15"/>
      <c r="C15"/>
      <c r="D15"/>
      <c r="E15"/>
      <c r="F15"/>
    </row>
    <row r="16" spans="1:6">
      <c r="B16"/>
      <c r="C16"/>
      <c r="D16"/>
      <c r="E16"/>
      <c r="F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99D1-E284-49DD-871C-915BF2A801E3}">
  <dimension ref="A1:C46"/>
  <sheetViews>
    <sheetView workbookViewId="0">
      <selection activeCell="F7" sqref="F7"/>
    </sheetView>
  </sheetViews>
  <sheetFormatPr defaultRowHeight="15"/>
  <cols>
    <col min="1" max="1" width="12.85546875" bestFit="1" customWidth="1"/>
    <col min="2" max="2" width="11" bestFit="1" customWidth="1"/>
  </cols>
  <sheetData>
    <row r="1" spans="1:2">
      <c r="A1" s="67" t="s">
        <v>3</v>
      </c>
      <c r="B1" t="s">
        <v>4</v>
      </c>
    </row>
    <row r="2" spans="1:2">
      <c r="A2" s="68" t="s">
        <v>5</v>
      </c>
      <c r="B2" t="s">
        <v>6</v>
      </c>
    </row>
    <row r="3" spans="1:2">
      <c r="A3" s="69" t="s">
        <v>7</v>
      </c>
      <c r="B3" t="s">
        <v>6</v>
      </c>
    </row>
    <row r="4" spans="1:2">
      <c r="A4" s="68" t="s">
        <v>8</v>
      </c>
      <c r="B4" t="s">
        <v>6</v>
      </c>
    </row>
    <row r="5" spans="1:2">
      <c r="A5" s="69" t="s">
        <v>9</v>
      </c>
      <c r="B5" t="s">
        <v>6</v>
      </c>
    </row>
    <row r="6" spans="1:2">
      <c r="A6" s="68" t="s">
        <v>10</v>
      </c>
      <c r="B6" t="s">
        <v>6</v>
      </c>
    </row>
    <row r="7" spans="1:2">
      <c r="A7" s="69" t="s">
        <v>11</v>
      </c>
      <c r="B7" t="s">
        <v>6</v>
      </c>
    </row>
    <row r="8" spans="1:2">
      <c r="A8" s="68" t="s">
        <v>12</v>
      </c>
      <c r="B8" t="s">
        <v>6</v>
      </c>
    </row>
    <row r="9" spans="1:2">
      <c r="A9" s="69" t="s">
        <v>13</v>
      </c>
      <c r="B9" t="s">
        <v>6</v>
      </c>
    </row>
    <row r="10" spans="1:2">
      <c r="A10" s="68" t="s">
        <v>14</v>
      </c>
      <c r="B10" t="s">
        <v>6</v>
      </c>
    </row>
    <row r="11" spans="1:2">
      <c r="A11" s="69" t="s">
        <v>15</v>
      </c>
      <c r="B11" t="s">
        <v>6</v>
      </c>
    </row>
    <row r="12" spans="1:2">
      <c r="A12" s="68" t="s">
        <v>16</v>
      </c>
      <c r="B12" t="s">
        <v>6</v>
      </c>
    </row>
    <row r="13" spans="1:2">
      <c r="A13" s="69" t="s">
        <v>17</v>
      </c>
      <c r="B13" t="s">
        <v>6</v>
      </c>
    </row>
    <row r="14" spans="1:2">
      <c r="A14" s="68" t="s">
        <v>18</v>
      </c>
      <c r="B14" t="s">
        <v>6</v>
      </c>
    </row>
    <row r="15" spans="1:2">
      <c r="A15" s="69" t="s">
        <v>19</v>
      </c>
      <c r="B15" t="s">
        <v>6</v>
      </c>
    </row>
    <row r="16" spans="1:2">
      <c r="A16" s="68" t="s">
        <v>20</v>
      </c>
      <c r="B16" t="s">
        <v>6</v>
      </c>
    </row>
    <row r="17" spans="1:3">
      <c r="A17" s="69" t="s">
        <v>21</v>
      </c>
      <c r="B17" t="s">
        <v>6</v>
      </c>
    </row>
    <row r="18" spans="1:3">
      <c r="A18" s="70" t="s">
        <v>22</v>
      </c>
      <c r="B18" t="s">
        <v>6</v>
      </c>
    </row>
    <row r="19" spans="1:3">
      <c r="A19" s="71" t="s">
        <v>23</v>
      </c>
      <c r="B19" t="s">
        <v>6</v>
      </c>
    </row>
    <row r="20" spans="1:3">
      <c r="A20" s="70" t="s">
        <v>24</v>
      </c>
      <c r="B20" t="s">
        <v>6</v>
      </c>
    </row>
    <row r="21" spans="1:3">
      <c r="A21" s="71" t="s">
        <v>25</v>
      </c>
      <c r="B21" t="s">
        <v>6</v>
      </c>
    </row>
    <row r="22" spans="1:3">
      <c r="A22" s="70" t="s">
        <v>26</v>
      </c>
      <c r="B22" t="s">
        <v>6</v>
      </c>
    </row>
    <row r="23" spans="1:3">
      <c r="A23" s="71" t="s">
        <v>27</v>
      </c>
      <c r="B23" t="s">
        <v>6</v>
      </c>
    </row>
    <row r="24" spans="1:3">
      <c r="A24" s="70" t="s">
        <v>28</v>
      </c>
      <c r="B24" t="s">
        <v>6</v>
      </c>
    </row>
    <row r="25" spans="1:3">
      <c r="A25" s="71" t="s">
        <v>29</v>
      </c>
      <c r="B25" t="s">
        <v>6</v>
      </c>
    </row>
    <row r="26" spans="1:3">
      <c r="A26" s="70" t="s">
        <v>30</v>
      </c>
      <c r="B26" t="s">
        <v>6</v>
      </c>
    </row>
    <row r="27" spans="1:3">
      <c r="A27" s="71" t="s">
        <v>31</v>
      </c>
      <c r="B27" t="s">
        <v>6</v>
      </c>
    </row>
    <row r="28" spans="1:3">
      <c r="A28" s="70" t="s">
        <v>32</v>
      </c>
      <c r="B28" t="s">
        <v>6</v>
      </c>
    </row>
    <row r="29" spans="1:3">
      <c r="A29" s="71" t="s">
        <v>33</v>
      </c>
      <c r="B29" t="s">
        <v>6</v>
      </c>
    </row>
    <row r="30" spans="1:3">
      <c r="A30" s="72" t="s">
        <v>34</v>
      </c>
      <c r="B30" t="s">
        <v>6</v>
      </c>
    </row>
    <row r="31" spans="1:3">
      <c r="A31" s="73" t="s">
        <v>35</v>
      </c>
      <c r="B31" t="s">
        <v>6</v>
      </c>
      <c r="C31" t="s">
        <v>36</v>
      </c>
    </row>
    <row r="32" spans="1:3">
      <c r="A32" s="69" t="s">
        <v>37</v>
      </c>
      <c r="B32" t="s">
        <v>6</v>
      </c>
      <c r="C32" t="s">
        <v>36</v>
      </c>
    </row>
    <row r="33" spans="1:3">
      <c r="A33" s="73" t="s">
        <v>38</v>
      </c>
      <c r="B33" t="s">
        <v>6</v>
      </c>
      <c r="C33" t="s">
        <v>36</v>
      </c>
    </row>
    <row r="34" spans="1:3">
      <c r="A34" s="69" t="s">
        <v>39</v>
      </c>
      <c r="B34" t="s">
        <v>6</v>
      </c>
      <c r="C34" t="s">
        <v>36</v>
      </c>
    </row>
    <row r="35" spans="1:3">
      <c r="A35" s="73" t="s">
        <v>40</v>
      </c>
      <c r="B35" t="s">
        <v>6</v>
      </c>
      <c r="C35" t="s">
        <v>36</v>
      </c>
    </row>
    <row r="36" spans="1:3">
      <c r="A36" s="69" t="s">
        <v>41</v>
      </c>
      <c r="B36" t="s">
        <v>6</v>
      </c>
      <c r="C36" t="s">
        <v>36</v>
      </c>
    </row>
    <row r="37" spans="1:3">
      <c r="A37" s="73" t="s">
        <v>42</v>
      </c>
      <c r="B37" t="s">
        <v>6</v>
      </c>
      <c r="C37" t="s">
        <v>36</v>
      </c>
    </row>
    <row r="38" spans="1:3">
      <c r="A38" s="69" t="s">
        <v>43</v>
      </c>
      <c r="B38" t="s">
        <v>6</v>
      </c>
      <c r="C38" t="s">
        <v>36</v>
      </c>
    </row>
    <row r="39" spans="1:3">
      <c r="A39" s="73" t="s">
        <v>44</v>
      </c>
      <c r="B39" t="s">
        <v>6</v>
      </c>
      <c r="C39" t="s">
        <v>36</v>
      </c>
    </row>
    <row r="40" spans="1:3">
      <c r="A40" s="69" t="s">
        <v>45</v>
      </c>
      <c r="B40" t="s">
        <v>6</v>
      </c>
      <c r="C40" t="s">
        <v>36</v>
      </c>
    </row>
    <row r="41" spans="1:3">
      <c r="A41" s="74" t="s">
        <v>46</v>
      </c>
      <c r="B41" t="s">
        <v>6</v>
      </c>
      <c r="C41" t="s">
        <v>36</v>
      </c>
    </row>
    <row r="42" spans="1:3">
      <c r="A42" s="69" t="s">
        <v>47</v>
      </c>
      <c r="B42" t="s">
        <v>6</v>
      </c>
      <c r="C42" t="s">
        <v>36</v>
      </c>
    </row>
    <row r="43" spans="1:3">
      <c r="A43" s="73" t="s">
        <v>48</v>
      </c>
      <c r="B43" t="s">
        <v>6</v>
      </c>
      <c r="C43" t="s">
        <v>36</v>
      </c>
    </row>
    <row r="44" spans="1:3">
      <c r="A44" s="75" t="s">
        <v>49</v>
      </c>
      <c r="B44" t="s">
        <v>6</v>
      </c>
      <c r="C44" t="s">
        <v>36</v>
      </c>
    </row>
    <row r="45" spans="1:3">
      <c r="A45" s="76" t="s">
        <v>50</v>
      </c>
      <c r="B45" t="s">
        <v>6</v>
      </c>
      <c r="C45" t="s">
        <v>36</v>
      </c>
    </row>
    <row r="46" spans="1:3">
      <c r="A46" s="69" t="s">
        <v>51</v>
      </c>
      <c r="B46" t="s">
        <v>6</v>
      </c>
      <c r="C46" t="s">
        <v>36</v>
      </c>
    </row>
  </sheetData>
  <autoFilter ref="A1:B46" xr:uid="{F84A99D1-E284-49DD-871C-915BF2A801E3}"/>
  <dataValidations disablePrompts="1" count="1">
    <dataValidation allowBlank="1" showInputMessage="1" showErrorMessage="1" prompt="Insira a atividade na coluna B, começando na célula B5_x000a_" sqref="A1" xr:uid="{F4724455-CFFA-4131-8264-9E66981B4C68}"/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1A7B-F6C6-423D-85DF-1183B8B9FC7B}">
  <dimension ref="A3:D116"/>
  <sheetViews>
    <sheetView topLeftCell="A78" workbookViewId="0">
      <selection activeCell="A4" sqref="A4:D115"/>
    </sheetView>
  </sheetViews>
  <sheetFormatPr defaultRowHeight="15"/>
  <cols>
    <col min="1" max="1" width="19" bestFit="1" customWidth="1"/>
    <col min="2" max="2" width="25.7109375" bestFit="1" customWidth="1"/>
    <col min="3" max="3" width="21.5703125" bestFit="1" customWidth="1"/>
    <col min="4" max="4" width="22.85546875" bestFit="1" customWidth="1"/>
  </cols>
  <sheetData>
    <row r="3" spans="1:4">
      <c r="A3" s="55" t="s">
        <v>52</v>
      </c>
      <c r="B3" t="s">
        <v>0</v>
      </c>
      <c r="C3" t="s">
        <v>1</v>
      </c>
      <c r="D3" t="s">
        <v>53</v>
      </c>
    </row>
    <row r="4" spans="1:4">
      <c r="A4" s="39" t="s">
        <v>54</v>
      </c>
      <c r="B4">
        <v>2143.98</v>
      </c>
      <c r="C4">
        <v>1715.18</v>
      </c>
      <c r="D4" s="94">
        <v>1398.9618399999999</v>
      </c>
    </row>
    <row r="5" spans="1:4">
      <c r="A5" s="39" t="s">
        <v>55</v>
      </c>
      <c r="B5">
        <v>4658.08</v>
      </c>
      <c r="C5">
        <v>3959.37</v>
      </c>
      <c r="D5" s="94">
        <v>3199.9357500000001</v>
      </c>
    </row>
    <row r="6" spans="1:4">
      <c r="A6" s="39" t="s">
        <v>56</v>
      </c>
      <c r="B6">
        <v>13076.02</v>
      </c>
      <c r="C6">
        <v>11768.42</v>
      </c>
      <c r="D6" s="94">
        <v>10003.156999999999</v>
      </c>
    </row>
    <row r="7" spans="1:4">
      <c r="A7" s="39" t="s">
        <v>57</v>
      </c>
      <c r="B7">
        <v>3708.68</v>
      </c>
      <c r="C7">
        <v>3152.38</v>
      </c>
      <c r="D7" s="94">
        <v>315.238</v>
      </c>
    </row>
    <row r="8" spans="1:4">
      <c r="A8" s="39" t="s">
        <v>58</v>
      </c>
      <c r="B8">
        <v>98298.28</v>
      </c>
      <c r="C8">
        <v>88468.46</v>
      </c>
      <c r="D8" s="94">
        <v>81461.757970000006</v>
      </c>
    </row>
    <row r="9" spans="1:4">
      <c r="A9" s="39" t="s">
        <v>59</v>
      </c>
      <c r="B9">
        <v>146763.04999999999</v>
      </c>
      <c r="C9">
        <v>132086.74</v>
      </c>
      <c r="D9" s="94">
        <v>66043.55</v>
      </c>
    </row>
    <row r="10" spans="1:4">
      <c r="A10" s="39" t="s">
        <v>60</v>
      </c>
      <c r="B10">
        <v>121327.57</v>
      </c>
      <c r="C10">
        <v>103128.44</v>
      </c>
      <c r="D10" s="94">
        <v>92815.668000000005</v>
      </c>
    </row>
    <row r="11" spans="1:4">
      <c r="A11" s="39" t="s">
        <v>61</v>
      </c>
      <c r="B11">
        <v>40897.300000000003</v>
      </c>
      <c r="C11">
        <v>36807.58</v>
      </c>
      <c r="D11" s="94">
        <v>33126.822</v>
      </c>
    </row>
    <row r="12" spans="1:4">
      <c r="A12" s="39" t="s">
        <v>62</v>
      </c>
      <c r="B12">
        <v>429344.38</v>
      </c>
      <c r="C12">
        <v>364942.72</v>
      </c>
      <c r="D12" s="94">
        <v>328448.49300000002</v>
      </c>
    </row>
    <row r="13" spans="1:4">
      <c r="A13" s="39" t="s">
        <v>63</v>
      </c>
      <c r="B13">
        <v>315625.18</v>
      </c>
      <c r="C13">
        <v>268281.40000000002</v>
      </c>
      <c r="D13" s="94">
        <v>245899.51678999999</v>
      </c>
    </row>
    <row r="14" spans="1:4">
      <c r="A14" s="39" t="s">
        <v>64</v>
      </c>
      <c r="B14">
        <v>19624.900000000001</v>
      </c>
      <c r="C14">
        <v>16681.169999999998</v>
      </c>
      <c r="D14" s="94">
        <v>8376.9762800000008</v>
      </c>
    </row>
    <row r="15" spans="1:4">
      <c r="A15" s="39" t="s">
        <v>65</v>
      </c>
      <c r="B15">
        <v>1784.36</v>
      </c>
      <c r="C15">
        <v>1516.71</v>
      </c>
      <c r="D15" s="94">
        <v>823.35699999999997</v>
      </c>
    </row>
    <row r="16" spans="1:4">
      <c r="A16" s="39" t="s">
        <v>66</v>
      </c>
      <c r="B16">
        <v>21392.01</v>
      </c>
      <c r="C16">
        <v>18183.21</v>
      </c>
      <c r="D16" s="94">
        <v>61.645910000000001</v>
      </c>
    </row>
    <row r="17" spans="1:4">
      <c r="A17" s="39" t="s">
        <v>67</v>
      </c>
      <c r="B17">
        <v>134627.92000000001</v>
      </c>
      <c r="C17">
        <v>114433.74</v>
      </c>
      <c r="D17" s="94">
        <v>80819.577999999994</v>
      </c>
    </row>
    <row r="18" spans="1:4">
      <c r="A18" s="39" t="s">
        <v>68</v>
      </c>
      <c r="B18">
        <v>25719.47</v>
      </c>
      <c r="C18">
        <v>21861.55</v>
      </c>
      <c r="D18" s="94">
        <v>19969.578000000001</v>
      </c>
    </row>
    <row r="19" spans="1:4">
      <c r="A19" s="39" t="s">
        <v>69</v>
      </c>
      <c r="B19">
        <v>268823.34000000003</v>
      </c>
      <c r="C19">
        <v>201617.51</v>
      </c>
      <c r="D19" s="94">
        <v>194027.13503</v>
      </c>
    </row>
    <row r="20" spans="1:4">
      <c r="A20" s="39" t="s">
        <v>70</v>
      </c>
      <c r="B20">
        <v>25167.200000000001</v>
      </c>
      <c r="C20">
        <v>7550.16</v>
      </c>
      <c r="D20" s="94">
        <v>5285.1120000000001</v>
      </c>
    </row>
    <row r="21" spans="1:4">
      <c r="A21" s="39" t="s">
        <v>71</v>
      </c>
      <c r="B21">
        <v>3610.06</v>
      </c>
      <c r="C21">
        <v>1081.57</v>
      </c>
      <c r="D21" s="94">
        <v>757.09900000000005</v>
      </c>
    </row>
    <row r="22" spans="1:4">
      <c r="A22" s="39" t="s">
        <v>72</v>
      </c>
      <c r="B22">
        <v>21469.25</v>
      </c>
      <c r="C22">
        <v>2698.05</v>
      </c>
      <c r="D22" s="94">
        <v>1888.635</v>
      </c>
    </row>
    <row r="23" spans="1:4">
      <c r="A23" s="39" t="s">
        <v>73</v>
      </c>
      <c r="B23">
        <v>178051.73</v>
      </c>
      <c r="C23">
        <v>160246.54999999999</v>
      </c>
      <c r="D23" s="94">
        <v>144221.89499999999</v>
      </c>
    </row>
    <row r="24" spans="1:4">
      <c r="A24" s="39" t="s">
        <v>74</v>
      </c>
      <c r="B24">
        <v>28307.45</v>
      </c>
      <c r="C24">
        <v>5661.49</v>
      </c>
      <c r="D24" s="94">
        <v>5286.9877300000007</v>
      </c>
    </row>
    <row r="25" spans="1:4">
      <c r="A25" s="39" t="s">
        <v>75</v>
      </c>
      <c r="B25">
        <v>1715.72</v>
      </c>
      <c r="C25">
        <v>1201.01</v>
      </c>
      <c r="D25" s="94">
        <v>1050.54692</v>
      </c>
    </row>
    <row r="26" spans="1:4">
      <c r="A26" s="39" t="s">
        <v>76</v>
      </c>
      <c r="B26">
        <v>40535.22</v>
      </c>
      <c r="C26">
        <v>20267.61</v>
      </c>
      <c r="D26" s="94">
        <v>21143.706149999998</v>
      </c>
    </row>
    <row r="27" spans="1:4">
      <c r="A27" s="39" t="s">
        <v>77</v>
      </c>
      <c r="B27">
        <v>60172.58</v>
      </c>
      <c r="C27">
        <v>24069.03</v>
      </c>
      <c r="D27" s="94">
        <v>21662.127</v>
      </c>
    </row>
    <row r="28" spans="1:4">
      <c r="A28" s="39" t="s">
        <v>78</v>
      </c>
      <c r="B28">
        <v>44103.26</v>
      </c>
      <c r="C28">
        <v>17641.3</v>
      </c>
      <c r="D28" s="94">
        <v>12348.91</v>
      </c>
    </row>
    <row r="29" spans="1:4">
      <c r="A29" s="39" t="s">
        <v>79</v>
      </c>
      <c r="B29">
        <v>13028.92</v>
      </c>
      <c r="C29">
        <v>9120.25</v>
      </c>
      <c r="D29" s="94">
        <v>7364.43325</v>
      </c>
    </row>
    <row r="30" spans="1:4">
      <c r="A30" s="39" t="s">
        <v>80</v>
      </c>
      <c r="B30">
        <v>117981.5</v>
      </c>
      <c r="C30">
        <v>88486.12</v>
      </c>
      <c r="D30" s="94">
        <v>12604.397560000001</v>
      </c>
    </row>
    <row r="31" spans="1:4">
      <c r="A31" s="39" t="s">
        <v>81</v>
      </c>
      <c r="B31">
        <v>285261.95</v>
      </c>
      <c r="C31">
        <v>213946.46</v>
      </c>
      <c r="D31" s="94">
        <v>193224.67199999999</v>
      </c>
    </row>
    <row r="32" spans="1:4">
      <c r="A32" s="39" t="s">
        <v>82</v>
      </c>
      <c r="B32">
        <v>57480.83</v>
      </c>
      <c r="C32">
        <v>51732.75</v>
      </c>
      <c r="D32" s="94">
        <v>15519.825000000001</v>
      </c>
    </row>
    <row r="33" spans="1:4">
      <c r="A33" s="39" t="s">
        <v>83</v>
      </c>
      <c r="B33">
        <v>3727.86</v>
      </c>
      <c r="C33">
        <v>3355.08</v>
      </c>
      <c r="D33" s="94">
        <v>3019.5720000000001</v>
      </c>
    </row>
    <row r="34" spans="1:4">
      <c r="A34" s="39" t="s">
        <v>84</v>
      </c>
      <c r="B34">
        <v>361693.66</v>
      </c>
      <c r="C34">
        <v>325524.28999999998</v>
      </c>
      <c r="D34" s="94">
        <v>292971.86100000003</v>
      </c>
    </row>
    <row r="35" spans="1:4">
      <c r="A35" s="39" t="s">
        <v>44</v>
      </c>
      <c r="B35">
        <v>37177.199999999997</v>
      </c>
      <c r="C35">
        <v>33459.480000000003</v>
      </c>
      <c r="D35" s="94">
        <v>30037.593999999994</v>
      </c>
    </row>
    <row r="36" spans="1:4">
      <c r="A36" s="39" t="s">
        <v>85</v>
      </c>
      <c r="B36">
        <v>59603.86</v>
      </c>
      <c r="C36">
        <v>41722.699999999997</v>
      </c>
      <c r="D36" s="94">
        <v>37550.429999999993</v>
      </c>
    </row>
    <row r="37" spans="1:4">
      <c r="A37" s="39" t="s">
        <v>43</v>
      </c>
      <c r="B37">
        <v>209652.38</v>
      </c>
      <c r="C37">
        <v>188687.14</v>
      </c>
      <c r="D37" s="94">
        <v>169818.42600000001</v>
      </c>
    </row>
    <row r="38" spans="1:4">
      <c r="A38" s="39" t="s">
        <v>86</v>
      </c>
      <c r="B38">
        <v>31629.919999999998</v>
      </c>
      <c r="C38">
        <v>28466.92</v>
      </c>
      <c r="D38" s="94">
        <v>27988.338879999999</v>
      </c>
    </row>
    <row r="39" spans="1:4">
      <c r="A39" s="39" t="s">
        <v>87</v>
      </c>
      <c r="B39">
        <v>66068.570000000007</v>
      </c>
      <c r="C39">
        <v>59461.71</v>
      </c>
      <c r="D39" s="94">
        <v>55899.093650000003</v>
      </c>
    </row>
    <row r="40" spans="1:4">
      <c r="A40" s="39" t="s">
        <v>51</v>
      </c>
      <c r="B40">
        <v>18629.41</v>
      </c>
      <c r="C40">
        <v>16766.47</v>
      </c>
      <c r="D40" s="94">
        <v>13413.175999999999</v>
      </c>
    </row>
    <row r="41" spans="1:4">
      <c r="A41" s="39" t="s">
        <v>88</v>
      </c>
      <c r="B41">
        <v>24897.49</v>
      </c>
      <c r="C41">
        <v>22407.74</v>
      </c>
      <c r="D41" s="94">
        <v>20166.966</v>
      </c>
    </row>
    <row r="42" spans="1:4">
      <c r="A42" s="39" t="s">
        <v>89</v>
      </c>
      <c r="B42">
        <v>224408.48</v>
      </c>
      <c r="C42">
        <v>201967.63</v>
      </c>
      <c r="D42" s="94">
        <v>181770.867</v>
      </c>
    </row>
    <row r="43" spans="1:4">
      <c r="A43" s="39" t="s">
        <v>41</v>
      </c>
      <c r="B43">
        <v>102341.37</v>
      </c>
      <c r="C43">
        <v>92107.24</v>
      </c>
      <c r="D43" s="94">
        <v>82896.516000000003</v>
      </c>
    </row>
    <row r="44" spans="1:4">
      <c r="A44" s="39" t="s">
        <v>49</v>
      </c>
      <c r="B44">
        <v>834063.96</v>
      </c>
      <c r="C44">
        <v>750657.56</v>
      </c>
      <c r="D44" s="94">
        <v>675591.804</v>
      </c>
    </row>
    <row r="45" spans="1:4">
      <c r="A45" s="39" t="s">
        <v>5</v>
      </c>
      <c r="B45">
        <v>1251588.3500000001</v>
      </c>
      <c r="C45">
        <v>1126429.51</v>
      </c>
      <c r="D45" s="94">
        <v>901143.60800000001</v>
      </c>
    </row>
    <row r="46" spans="1:4">
      <c r="A46" s="39" t="s">
        <v>37</v>
      </c>
      <c r="B46">
        <v>38244.42</v>
      </c>
      <c r="C46">
        <v>34419.980000000003</v>
      </c>
      <c r="D46" s="94">
        <v>34386.27044</v>
      </c>
    </row>
    <row r="47" spans="1:4">
      <c r="A47" s="39" t="s">
        <v>17</v>
      </c>
      <c r="B47">
        <v>17217.48</v>
      </c>
      <c r="C47">
        <v>15495.75</v>
      </c>
      <c r="D47" s="94">
        <v>12396.599800000002</v>
      </c>
    </row>
    <row r="48" spans="1:4">
      <c r="A48" s="39" t="s">
        <v>25</v>
      </c>
      <c r="B48">
        <v>50241.73</v>
      </c>
      <c r="C48">
        <v>45217.56</v>
      </c>
      <c r="D48" s="94">
        <v>13565.267999999998</v>
      </c>
    </row>
    <row r="49" spans="1:4">
      <c r="A49" s="39" t="s">
        <v>14</v>
      </c>
      <c r="B49">
        <v>103216.39</v>
      </c>
      <c r="C49">
        <v>92894.75</v>
      </c>
      <c r="D49" s="94">
        <v>74315.800010000006</v>
      </c>
    </row>
    <row r="50" spans="1:4">
      <c r="A50" s="39" t="s">
        <v>12</v>
      </c>
      <c r="B50">
        <v>108539.56</v>
      </c>
      <c r="C50">
        <v>97685.6</v>
      </c>
      <c r="D50" s="94">
        <v>68379.92</v>
      </c>
    </row>
    <row r="51" spans="1:4">
      <c r="A51" s="39" t="s">
        <v>20</v>
      </c>
      <c r="B51">
        <v>63011.7</v>
      </c>
      <c r="C51">
        <v>56710.53</v>
      </c>
      <c r="D51" s="94">
        <v>39697.370999999999</v>
      </c>
    </row>
    <row r="52" spans="1:4">
      <c r="A52" s="39" t="s">
        <v>21</v>
      </c>
      <c r="B52">
        <v>171613.19</v>
      </c>
      <c r="C52">
        <v>154451.88</v>
      </c>
      <c r="D52" s="94">
        <v>92671.127999999982</v>
      </c>
    </row>
    <row r="53" spans="1:4">
      <c r="A53" s="39" t="s">
        <v>24</v>
      </c>
      <c r="B53">
        <v>30124.799999999999</v>
      </c>
      <c r="C53">
        <v>27112.32</v>
      </c>
      <c r="D53" s="94">
        <v>21689.856</v>
      </c>
    </row>
    <row r="54" spans="1:4">
      <c r="A54" s="39" t="s">
        <v>18</v>
      </c>
      <c r="B54">
        <v>16543.43</v>
      </c>
      <c r="C54">
        <v>14889.08</v>
      </c>
      <c r="D54" s="94">
        <v>11911.263999999999</v>
      </c>
    </row>
    <row r="55" spans="1:4">
      <c r="A55" s="39" t="s">
        <v>16</v>
      </c>
      <c r="B55">
        <v>133576.06</v>
      </c>
      <c r="C55">
        <v>120218.45</v>
      </c>
      <c r="D55" s="94">
        <v>96174.760000000009</v>
      </c>
    </row>
    <row r="56" spans="1:4">
      <c r="A56" s="39" t="s">
        <v>23</v>
      </c>
      <c r="B56">
        <v>1256268.78</v>
      </c>
      <c r="C56">
        <v>1130641.8999999999</v>
      </c>
      <c r="D56" s="94">
        <v>339192.57</v>
      </c>
    </row>
    <row r="57" spans="1:4">
      <c r="A57" s="39" t="s">
        <v>22</v>
      </c>
      <c r="B57">
        <v>129343.83</v>
      </c>
      <c r="C57">
        <v>116409.45</v>
      </c>
      <c r="D57" s="94">
        <v>34922.835000000006</v>
      </c>
    </row>
    <row r="58" spans="1:4">
      <c r="A58" s="39" t="s">
        <v>90</v>
      </c>
      <c r="B58">
        <v>903380.24</v>
      </c>
      <c r="C58">
        <v>587197.16</v>
      </c>
      <c r="D58" s="94">
        <v>528477.44400000002</v>
      </c>
    </row>
    <row r="59" spans="1:4">
      <c r="A59" s="39" t="s">
        <v>91</v>
      </c>
      <c r="B59">
        <v>122134.65</v>
      </c>
      <c r="C59">
        <v>79387.520000000004</v>
      </c>
      <c r="D59" s="94">
        <v>33001.392060000006</v>
      </c>
    </row>
    <row r="60" spans="1:4">
      <c r="A60" s="39" t="s">
        <v>92</v>
      </c>
      <c r="B60">
        <v>128396.14</v>
      </c>
      <c r="C60">
        <v>106992.5</v>
      </c>
      <c r="D60" s="94">
        <v>49885.685036659997</v>
      </c>
    </row>
    <row r="61" spans="1:4">
      <c r="A61" s="39" t="s">
        <v>93</v>
      </c>
      <c r="B61">
        <v>350102.5</v>
      </c>
      <c r="C61">
        <v>227566.63</v>
      </c>
      <c r="D61" s="94">
        <v>212774.79905</v>
      </c>
    </row>
    <row r="62" spans="1:4">
      <c r="A62" s="39" t="s">
        <v>94</v>
      </c>
      <c r="B62">
        <v>77835.12</v>
      </c>
      <c r="C62">
        <v>70051.61</v>
      </c>
      <c r="D62" s="94">
        <v>21015.483</v>
      </c>
    </row>
    <row r="63" spans="1:4">
      <c r="A63" s="39" t="s">
        <v>95</v>
      </c>
      <c r="B63">
        <v>475567.61</v>
      </c>
      <c r="C63">
        <v>356675.71</v>
      </c>
      <c r="D63" s="94">
        <v>240029.51349738997</v>
      </c>
    </row>
    <row r="64" spans="1:4">
      <c r="A64" s="39" t="s">
        <v>96</v>
      </c>
      <c r="B64">
        <v>328113.36</v>
      </c>
      <c r="C64">
        <v>295302.02</v>
      </c>
      <c r="D64" s="94">
        <v>265771.87199999997</v>
      </c>
    </row>
    <row r="65" spans="1:4">
      <c r="A65" s="39" t="s">
        <v>97</v>
      </c>
      <c r="B65">
        <v>11692.56</v>
      </c>
      <c r="C65">
        <v>10523.31</v>
      </c>
      <c r="D65" s="94">
        <v>7936.570130000001</v>
      </c>
    </row>
    <row r="66" spans="1:4">
      <c r="A66" s="39" t="s">
        <v>98</v>
      </c>
      <c r="B66">
        <v>172681.14</v>
      </c>
      <c r="C66">
        <v>164392.29</v>
      </c>
      <c r="D66" s="94">
        <v>96908.562600000005</v>
      </c>
    </row>
    <row r="67" spans="1:4">
      <c r="A67" s="39" t="s">
        <v>48</v>
      </c>
      <c r="B67">
        <v>82637.009999999995</v>
      </c>
      <c r="C67">
        <v>74373.31</v>
      </c>
      <c r="D67" s="94">
        <v>52691.082159999998</v>
      </c>
    </row>
    <row r="68" spans="1:4">
      <c r="A68" s="39" t="s">
        <v>99</v>
      </c>
      <c r="B68">
        <v>35403.18</v>
      </c>
      <c r="C68">
        <v>31862.86</v>
      </c>
      <c r="D68" s="94">
        <v>28687.458230000004</v>
      </c>
    </row>
    <row r="69" spans="1:4">
      <c r="A69" s="39" t="s">
        <v>100</v>
      </c>
      <c r="B69">
        <v>145321.49</v>
      </c>
      <c r="C69">
        <v>108991.12</v>
      </c>
      <c r="D69" s="94">
        <v>98092.592999999993</v>
      </c>
    </row>
    <row r="70" spans="1:4">
      <c r="A70" s="39" t="s">
        <v>46</v>
      </c>
      <c r="B70">
        <v>260709.64</v>
      </c>
      <c r="C70">
        <v>182496.74</v>
      </c>
      <c r="D70" s="94">
        <v>164247.06599999999</v>
      </c>
    </row>
    <row r="71" spans="1:4">
      <c r="A71" s="39" t="s">
        <v>101</v>
      </c>
      <c r="B71">
        <v>235373.12</v>
      </c>
      <c r="C71">
        <v>164761.18</v>
      </c>
      <c r="D71" s="94">
        <v>148285.06200000001</v>
      </c>
    </row>
    <row r="72" spans="1:4">
      <c r="A72" s="39" t="s">
        <v>102</v>
      </c>
      <c r="B72">
        <v>173904.56</v>
      </c>
      <c r="C72">
        <v>104342.73</v>
      </c>
      <c r="D72" s="94">
        <v>82249.961989999996</v>
      </c>
    </row>
    <row r="73" spans="1:4">
      <c r="A73" s="39" t="s">
        <v>103</v>
      </c>
      <c r="B73">
        <v>1052914.19</v>
      </c>
      <c r="C73">
        <v>684394.22</v>
      </c>
      <c r="D73" s="94">
        <v>615954.79799999995</v>
      </c>
    </row>
    <row r="74" spans="1:4">
      <c r="A74" s="39" t="s">
        <v>47</v>
      </c>
      <c r="B74">
        <v>104637.33</v>
      </c>
      <c r="C74">
        <v>94173.6</v>
      </c>
      <c r="D74" s="94">
        <v>84756.233999999997</v>
      </c>
    </row>
    <row r="75" spans="1:4">
      <c r="A75" s="39" t="s">
        <v>39</v>
      </c>
      <c r="B75">
        <v>46164.3</v>
      </c>
      <c r="C75">
        <v>41574.870000000003</v>
      </c>
      <c r="D75" s="94">
        <v>37417.383000000002</v>
      </c>
    </row>
    <row r="76" spans="1:4">
      <c r="A76" s="39" t="s">
        <v>50</v>
      </c>
      <c r="B76">
        <v>564391.37</v>
      </c>
      <c r="C76">
        <v>395073.96</v>
      </c>
      <c r="D76" s="94">
        <v>355839.57900000003</v>
      </c>
    </row>
    <row r="77" spans="1:4">
      <c r="A77" s="39" t="s">
        <v>104</v>
      </c>
      <c r="B77">
        <v>127178</v>
      </c>
      <c r="C77">
        <v>76306.8</v>
      </c>
      <c r="D77" s="94">
        <v>68676.12</v>
      </c>
    </row>
    <row r="78" spans="1:4">
      <c r="A78" s="39" t="s">
        <v>40</v>
      </c>
      <c r="B78">
        <v>165723.4</v>
      </c>
      <c r="C78">
        <v>149151.06</v>
      </c>
      <c r="D78" s="94">
        <v>104405.742</v>
      </c>
    </row>
    <row r="79" spans="1:4">
      <c r="A79" s="39" t="s">
        <v>38</v>
      </c>
      <c r="B79">
        <v>13302.07</v>
      </c>
      <c r="C79">
        <v>9311.4500000000007</v>
      </c>
      <c r="D79" s="94">
        <v>2331.2160000000003</v>
      </c>
    </row>
    <row r="80" spans="1:4">
      <c r="A80" s="39" t="s">
        <v>8</v>
      </c>
      <c r="B80">
        <v>931328.57</v>
      </c>
      <c r="C80">
        <v>605363.56999999995</v>
      </c>
      <c r="D80" s="94">
        <v>544827.21299999999</v>
      </c>
    </row>
    <row r="81" spans="1:4">
      <c r="A81" s="39" t="s">
        <v>45</v>
      </c>
      <c r="B81">
        <v>294243.5</v>
      </c>
      <c r="C81">
        <v>264819.15000000002</v>
      </c>
      <c r="D81" s="94">
        <v>238431.82499999998</v>
      </c>
    </row>
    <row r="82" spans="1:4">
      <c r="A82" s="39" t="s">
        <v>9</v>
      </c>
      <c r="B82">
        <v>355288.13</v>
      </c>
      <c r="C82">
        <v>248701.69</v>
      </c>
      <c r="D82" s="94">
        <v>198978.17600000001</v>
      </c>
    </row>
    <row r="83" spans="1:4">
      <c r="A83" s="39" t="s">
        <v>10</v>
      </c>
      <c r="B83">
        <v>1562065.53</v>
      </c>
      <c r="C83">
        <v>1405858.98</v>
      </c>
      <c r="D83" s="94">
        <v>843515.38799999992</v>
      </c>
    </row>
    <row r="84" spans="1:4">
      <c r="A84" s="39" t="s">
        <v>7</v>
      </c>
      <c r="B84">
        <v>61020.62</v>
      </c>
      <c r="C84">
        <v>54918.559999999998</v>
      </c>
      <c r="D84" s="94">
        <v>27459.279999999999</v>
      </c>
    </row>
    <row r="85" spans="1:4">
      <c r="A85" s="39" t="s">
        <v>11</v>
      </c>
      <c r="B85">
        <v>91088.53</v>
      </c>
      <c r="C85">
        <v>81979.679999999993</v>
      </c>
      <c r="D85" s="94">
        <v>65583.744000000006</v>
      </c>
    </row>
    <row r="86" spans="1:4">
      <c r="A86" s="39" t="s">
        <v>27</v>
      </c>
      <c r="B86">
        <v>1167187.74</v>
      </c>
      <c r="C86">
        <v>933750.19</v>
      </c>
      <c r="D86" s="94">
        <v>280125.05700000003</v>
      </c>
    </row>
    <row r="87" spans="1:4">
      <c r="A87" s="39" t="s">
        <v>13</v>
      </c>
      <c r="B87">
        <v>237942.12</v>
      </c>
      <c r="C87">
        <v>214147.908</v>
      </c>
      <c r="D87" s="94">
        <v>64244.3724</v>
      </c>
    </row>
    <row r="88" spans="1:4">
      <c r="A88" s="39" t="s">
        <v>15</v>
      </c>
      <c r="B88">
        <v>2981.91</v>
      </c>
      <c r="C88">
        <v>2385.5279999999998</v>
      </c>
      <c r="D88" s="94">
        <v>715.65840000000014</v>
      </c>
    </row>
    <row r="89" spans="1:4">
      <c r="A89" s="39" t="s">
        <v>19</v>
      </c>
      <c r="B89">
        <v>173978.62</v>
      </c>
      <c r="C89">
        <v>156580.76</v>
      </c>
      <c r="D89" s="94">
        <v>125264.60800000001</v>
      </c>
    </row>
    <row r="90" spans="1:4">
      <c r="A90" s="39" t="s">
        <v>34</v>
      </c>
      <c r="B90">
        <v>719433.56</v>
      </c>
      <c r="C90">
        <v>575546.85</v>
      </c>
      <c r="D90" s="94">
        <v>172664.05499999999</v>
      </c>
    </row>
    <row r="91" spans="1:4">
      <c r="A91" s="39" t="s">
        <v>26</v>
      </c>
      <c r="B91">
        <v>1774.42</v>
      </c>
      <c r="C91">
        <v>1419.54</v>
      </c>
      <c r="D91" s="94">
        <v>425.86199999999997</v>
      </c>
    </row>
    <row r="92" spans="1:4">
      <c r="A92" s="39" t="s">
        <v>105</v>
      </c>
      <c r="B92">
        <v>484942.84</v>
      </c>
      <c r="C92">
        <v>436448.56</v>
      </c>
      <c r="D92" s="94">
        <v>130934.568</v>
      </c>
    </row>
    <row r="93" spans="1:4">
      <c r="A93" s="39" t="s">
        <v>30</v>
      </c>
      <c r="B93">
        <v>55476.99</v>
      </c>
      <c r="C93">
        <v>44381.59</v>
      </c>
      <c r="D93" s="94">
        <v>13314.476999999999</v>
      </c>
    </row>
    <row r="94" spans="1:4">
      <c r="A94" s="39" t="s">
        <v>29</v>
      </c>
      <c r="B94">
        <v>91304.44</v>
      </c>
      <c r="C94">
        <v>82174</v>
      </c>
      <c r="D94" s="94">
        <v>24652.2</v>
      </c>
    </row>
    <row r="95" spans="1:4">
      <c r="A95" s="39" t="s">
        <v>32</v>
      </c>
      <c r="B95">
        <v>50392</v>
      </c>
      <c r="C95">
        <v>45352.800000000003</v>
      </c>
      <c r="D95" s="94">
        <v>13605.84</v>
      </c>
    </row>
    <row r="96" spans="1:4">
      <c r="A96" s="39" t="s">
        <v>33</v>
      </c>
      <c r="B96">
        <v>9029.48</v>
      </c>
      <c r="C96">
        <v>8126.53</v>
      </c>
      <c r="D96" s="94">
        <v>0</v>
      </c>
    </row>
    <row r="97" spans="1:4">
      <c r="A97" s="39" t="s">
        <v>106</v>
      </c>
      <c r="B97">
        <v>28833.4</v>
      </c>
      <c r="C97">
        <v>25950.06</v>
      </c>
      <c r="D97" s="94">
        <v>7785.018</v>
      </c>
    </row>
    <row r="98" spans="1:4">
      <c r="A98" s="39" t="s">
        <v>107</v>
      </c>
      <c r="B98">
        <v>280839.24</v>
      </c>
      <c r="C98">
        <v>252755.32</v>
      </c>
      <c r="D98" s="94">
        <v>227479.842</v>
      </c>
    </row>
    <row r="99" spans="1:4">
      <c r="A99" s="39" t="s">
        <v>108</v>
      </c>
      <c r="B99">
        <v>164367.25</v>
      </c>
      <c r="C99">
        <v>147930.51999999999</v>
      </c>
      <c r="D99" s="94">
        <v>133479.38699999999</v>
      </c>
    </row>
    <row r="100" spans="1:4">
      <c r="A100" s="39" t="s">
        <v>109</v>
      </c>
      <c r="B100">
        <v>217023.3</v>
      </c>
      <c r="C100">
        <v>195320.97</v>
      </c>
      <c r="D100" s="94">
        <v>39064.194000000003</v>
      </c>
    </row>
    <row r="101" spans="1:4">
      <c r="A101" s="39" t="s">
        <v>110</v>
      </c>
      <c r="B101">
        <v>394876.3</v>
      </c>
      <c r="C101">
        <v>296157.23</v>
      </c>
      <c r="D101" s="94">
        <v>5367.6193400000002</v>
      </c>
    </row>
    <row r="102" spans="1:4">
      <c r="A102" s="39" t="s">
        <v>111</v>
      </c>
      <c r="B102">
        <v>65667.67</v>
      </c>
      <c r="C102">
        <v>54077.33</v>
      </c>
      <c r="D102" s="94">
        <v>70032.864001900001</v>
      </c>
    </row>
    <row r="103" spans="1:4">
      <c r="A103" s="39" t="s">
        <v>112</v>
      </c>
      <c r="B103">
        <v>71118.460000000006</v>
      </c>
      <c r="C103">
        <v>59263.02</v>
      </c>
      <c r="D103" s="94">
        <v>23705.207999999999</v>
      </c>
    </row>
    <row r="104" spans="1:4">
      <c r="A104" s="39" t="s">
        <v>113</v>
      </c>
      <c r="B104">
        <v>27960.19</v>
      </c>
      <c r="C104">
        <v>16776.12</v>
      </c>
      <c r="D104" s="94">
        <v>15686.775</v>
      </c>
    </row>
    <row r="105" spans="1:4">
      <c r="A105" s="39" t="s">
        <v>114</v>
      </c>
      <c r="B105">
        <v>140423.75</v>
      </c>
      <c r="C105">
        <v>105317.81</v>
      </c>
      <c r="D105" s="94">
        <v>10603.989835599999</v>
      </c>
    </row>
    <row r="106" spans="1:4">
      <c r="A106" s="39" t="s">
        <v>115</v>
      </c>
      <c r="B106">
        <v>161208.16</v>
      </c>
      <c r="C106">
        <v>120906.12</v>
      </c>
      <c r="D106" s="94">
        <v>73126.584000000003</v>
      </c>
    </row>
    <row r="107" spans="1:4">
      <c r="A107" s="39" t="s">
        <v>116</v>
      </c>
      <c r="B107">
        <v>161208.16</v>
      </c>
      <c r="C107">
        <v>120906.12</v>
      </c>
      <c r="D107" s="94">
        <v>12267.570730000001</v>
      </c>
    </row>
    <row r="108" spans="1:4">
      <c r="A108" s="39" t="s">
        <v>117</v>
      </c>
      <c r="B108">
        <v>39960.46</v>
      </c>
      <c r="C108">
        <v>35964.410000000003</v>
      </c>
      <c r="D108" s="94">
        <v>7192.8819999999996</v>
      </c>
    </row>
    <row r="109" spans="1:4">
      <c r="A109" s="39" t="s">
        <v>118</v>
      </c>
      <c r="B109">
        <v>39970.949999999997</v>
      </c>
      <c r="C109">
        <v>35973.86</v>
      </c>
      <c r="D109" s="94">
        <v>21584.322</v>
      </c>
    </row>
    <row r="110" spans="1:4">
      <c r="A110" s="39" t="s">
        <v>119</v>
      </c>
      <c r="B110">
        <v>685321.24</v>
      </c>
      <c r="C110">
        <v>513990.93</v>
      </c>
      <c r="D110" s="94">
        <v>10876.56768</v>
      </c>
    </row>
    <row r="111" spans="1:4">
      <c r="A111" s="39" t="s">
        <v>120</v>
      </c>
      <c r="B111">
        <v>203296.38</v>
      </c>
      <c r="C111">
        <v>182966.74</v>
      </c>
      <c r="D111" s="94">
        <v>178199.81588400001</v>
      </c>
    </row>
    <row r="112" spans="1:4">
      <c r="A112" s="39" t="s">
        <v>121</v>
      </c>
      <c r="B112">
        <v>62141.7</v>
      </c>
      <c r="C112">
        <v>55928.09</v>
      </c>
      <c r="D112" s="94">
        <v>22371.236000000001</v>
      </c>
    </row>
    <row r="113" spans="1:4">
      <c r="A113" s="39" t="s">
        <v>122</v>
      </c>
      <c r="B113">
        <v>144451.95000000001</v>
      </c>
      <c r="C113">
        <v>108616.76</v>
      </c>
      <c r="D113" s="94">
        <v>2719.6153200000003</v>
      </c>
    </row>
    <row r="114" spans="1:4">
      <c r="A114" s="39" t="s">
        <v>123</v>
      </c>
      <c r="B114">
        <v>423832.7</v>
      </c>
      <c r="C114">
        <v>381449.43</v>
      </c>
      <c r="D114" s="94">
        <v>114434.829</v>
      </c>
    </row>
    <row r="115" spans="1:4">
      <c r="A115" s="39" t="s">
        <v>124</v>
      </c>
      <c r="B115">
        <v>362082.7</v>
      </c>
      <c r="C115">
        <v>325874.43</v>
      </c>
      <c r="D115" s="94">
        <v>97762.328999999998</v>
      </c>
    </row>
    <row r="116" spans="1:4">
      <c r="A116" s="39" t="s">
        <v>125</v>
      </c>
      <c r="B116">
        <v>23409750.009999998</v>
      </c>
      <c r="C116">
        <v>19002451.456</v>
      </c>
      <c r="D116" s="94">
        <v>12058640.20130555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5D58-1370-4431-A659-B7D186941931}">
  <dimension ref="A1:E114"/>
  <sheetViews>
    <sheetView topLeftCell="A102" workbookViewId="0">
      <selection activeCell="D131" sqref="D131"/>
    </sheetView>
  </sheetViews>
  <sheetFormatPr defaultRowHeight="15"/>
  <cols>
    <col min="1" max="1" width="15" bestFit="1" customWidth="1"/>
    <col min="2" max="2" width="24.140625" bestFit="1" customWidth="1"/>
    <col min="3" max="3" width="20" bestFit="1" customWidth="1"/>
    <col min="4" max="4" width="21.85546875" bestFit="1" customWidth="1"/>
    <col min="5" max="5" width="16.85546875" style="77" bestFit="1" customWidth="1"/>
  </cols>
  <sheetData>
    <row r="1" spans="1:5">
      <c r="A1" t="s">
        <v>52</v>
      </c>
      <c r="B1" t="s">
        <v>0</v>
      </c>
      <c r="C1" t="s">
        <v>1</v>
      </c>
      <c r="D1" t="s">
        <v>53</v>
      </c>
      <c r="E1" s="77" t="s">
        <v>126</v>
      </c>
    </row>
    <row r="2" spans="1:5">
      <c r="A2" t="s">
        <v>54</v>
      </c>
      <c r="B2">
        <v>2143.98</v>
      </c>
      <c r="C2">
        <v>1715.18</v>
      </c>
      <c r="D2">
        <v>1398.9618399999999</v>
      </c>
      <c r="E2" s="77">
        <f>D2/C2</f>
        <v>0.8156355834373068</v>
      </c>
    </row>
    <row r="3" spans="1:5">
      <c r="A3" t="s">
        <v>55</v>
      </c>
      <c r="B3">
        <v>4658.08</v>
      </c>
      <c r="C3">
        <v>3959.37</v>
      </c>
      <c r="D3">
        <v>3199.9357500000001</v>
      </c>
      <c r="E3" s="77">
        <f t="shared" ref="E3:E66" si="0">D3/C3</f>
        <v>0.80819315951780213</v>
      </c>
    </row>
    <row r="4" spans="1:5">
      <c r="A4" t="s">
        <v>56</v>
      </c>
      <c r="B4">
        <v>13076.02</v>
      </c>
      <c r="C4">
        <v>11768.42</v>
      </c>
      <c r="D4">
        <v>10003.156999999999</v>
      </c>
      <c r="E4" s="77">
        <f t="shared" si="0"/>
        <v>0.85</v>
      </c>
    </row>
    <row r="5" spans="1:5">
      <c r="A5" t="s">
        <v>57</v>
      </c>
      <c r="B5">
        <v>3708.68</v>
      </c>
      <c r="C5">
        <v>3152.38</v>
      </c>
      <c r="D5">
        <v>315.238</v>
      </c>
      <c r="E5" s="77">
        <f t="shared" si="0"/>
        <v>9.9999999999999992E-2</v>
      </c>
    </row>
    <row r="6" spans="1:5">
      <c r="A6" t="s">
        <v>58</v>
      </c>
      <c r="B6">
        <v>98298.28</v>
      </c>
      <c r="C6">
        <v>88468.46</v>
      </c>
      <c r="D6">
        <v>81461.757970000006</v>
      </c>
      <c r="E6" s="77">
        <f t="shared" si="0"/>
        <v>0.92080000002260698</v>
      </c>
    </row>
    <row r="7" spans="1:5">
      <c r="A7" t="s">
        <v>59</v>
      </c>
      <c r="B7">
        <v>146763.04999999999</v>
      </c>
      <c r="C7">
        <v>132086.74</v>
      </c>
      <c r="D7">
        <v>66043.55</v>
      </c>
      <c r="E7" s="77">
        <f t="shared" si="0"/>
        <v>0.50000136274087781</v>
      </c>
    </row>
    <row r="8" spans="1:5">
      <c r="A8" t="s">
        <v>60</v>
      </c>
      <c r="B8">
        <v>121327.57</v>
      </c>
      <c r="C8">
        <v>103128.44</v>
      </c>
      <c r="D8">
        <v>92815.668000000005</v>
      </c>
      <c r="E8" s="77">
        <f t="shared" si="0"/>
        <v>0.90000069815852934</v>
      </c>
    </row>
    <row r="9" spans="1:5">
      <c r="A9" t="s">
        <v>61</v>
      </c>
      <c r="B9">
        <v>40897.300000000003</v>
      </c>
      <c r="C9">
        <v>36807.58</v>
      </c>
      <c r="D9">
        <v>33126.822</v>
      </c>
      <c r="E9" s="77">
        <f t="shared" si="0"/>
        <v>0.89999999999999991</v>
      </c>
    </row>
    <row r="10" spans="1:5">
      <c r="A10" t="s">
        <v>62</v>
      </c>
      <c r="B10">
        <v>429344.38</v>
      </c>
      <c r="C10">
        <v>364942.72</v>
      </c>
      <c r="D10">
        <v>328448.49300000002</v>
      </c>
      <c r="E10" s="77">
        <f t="shared" si="0"/>
        <v>0.90000012330702206</v>
      </c>
    </row>
    <row r="11" spans="1:5">
      <c r="A11" t="s">
        <v>63</v>
      </c>
      <c r="B11">
        <v>315625.18</v>
      </c>
      <c r="C11">
        <v>268281.40000000002</v>
      </c>
      <c r="D11">
        <v>245899.51678999999</v>
      </c>
      <c r="E11" s="77">
        <f t="shared" si="0"/>
        <v>0.91657310864636898</v>
      </c>
    </row>
    <row r="12" spans="1:5">
      <c r="A12" t="s">
        <v>64</v>
      </c>
      <c r="B12">
        <v>19624.900000000001</v>
      </c>
      <c r="C12">
        <v>16681.169999999998</v>
      </c>
      <c r="D12">
        <v>8376.9762800000008</v>
      </c>
      <c r="E12" s="77">
        <f t="shared" si="0"/>
        <v>0.50218157839048472</v>
      </c>
    </row>
    <row r="13" spans="1:5">
      <c r="A13" t="s">
        <v>65</v>
      </c>
      <c r="B13">
        <v>1784.36</v>
      </c>
      <c r="C13">
        <v>1516.71</v>
      </c>
      <c r="D13">
        <v>823.35699999999997</v>
      </c>
      <c r="E13" s="77">
        <f t="shared" si="0"/>
        <v>0.54285723704597444</v>
      </c>
    </row>
    <row r="14" spans="1:5">
      <c r="A14" t="s">
        <v>66</v>
      </c>
      <c r="B14">
        <v>21392.01</v>
      </c>
      <c r="C14">
        <v>18183.21</v>
      </c>
      <c r="D14">
        <v>61.645910000000001</v>
      </c>
      <c r="E14" s="77">
        <f t="shared" si="0"/>
        <v>3.3902655251740483E-3</v>
      </c>
    </row>
    <row r="15" spans="1:5">
      <c r="A15" t="s">
        <v>67</v>
      </c>
      <c r="B15">
        <v>134627.92000000001</v>
      </c>
      <c r="C15">
        <v>114433.74</v>
      </c>
      <c r="D15">
        <v>80819.577999999994</v>
      </c>
      <c r="E15" s="77">
        <f t="shared" si="0"/>
        <v>0.70625654636473467</v>
      </c>
    </row>
    <row r="16" spans="1:5">
      <c r="A16" t="s">
        <v>68</v>
      </c>
      <c r="B16">
        <v>25719.47</v>
      </c>
      <c r="C16">
        <v>21861.55</v>
      </c>
      <c r="D16">
        <v>19969.578000000001</v>
      </c>
      <c r="E16" s="77">
        <f t="shared" si="0"/>
        <v>0.91345663962527823</v>
      </c>
    </row>
    <row r="17" spans="1:5">
      <c r="A17" t="s">
        <v>69</v>
      </c>
      <c r="B17">
        <v>268823.34000000003</v>
      </c>
      <c r="C17">
        <v>201617.51</v>
      </c>
      <c r="D17">
        <v>194027.13503</v>
      </c>
      <c r="E17" s="77">
        <f t="shared" si="0"/>
        <v>0.96235260037682246</v>
      </c>
    </row>
    <row r="18" spans="1:5">
      <c r="A18" t="s">
        <v>70</v>
      </c>
      <c r="B18">
        <v>25167.200000000001</v>
      </c>
      <c r="C18">
        <v>7550.16</v>
      </c>
      <c r="D18">
        <v>5285.1120000000001</v>
      </c>
      <c r="E18" s="77">
        <f t="shared" si="0"/>
        <v>0.70000000000000007</v>
      </c>
    </row>
    <row r="19" spans="1:5">
      <c r="A19" t="s">
        <v>71</v>
      </c>
      <c r="B19">
        <v>3610.06</v>
      </c>
      <c r="C19">
        <v>1081.57</v>
      </c>
      <c r="D19">
        <v>757.09900000000005</v>
      </c>
      <c r="E19" s="77">
        <f t="shared" si="0"/>
        <v>0.70000000000000007</v>
      </c>
    </row>
    <row r="20" spans="1:5">
      <c r="A20" t="s">
        <v>72</v>
      </c>
      <c r="B20">
        <v>21469.25</v>
      </c>
      <c r="C20">
        <v>2698.05</v>
      </c>
      <c r="D20">
        <v>1888.635</v>
      </c>
      <c r="E20" s="77">
        <f t="shared" si="0"/>
        <v>0.7</v>
      </c>
    </row>
    <row r="21" spans="1:5">
      <c r="A21" t="s">
        <v>73</v>
      </c>
      <c r="B21">
        <v>178051.73</v>
      </c>
      <c r="C21">
        <v>160246.54999999999</v>
      </c>
      <c r="D21">
        <v>144221.89499999999</v>
      </c>
      <c r="E21" s="77">
        <f t="shared" si="0"/>
        <v>0.9</v>
      </c>
    </row>
    <row r="22" spans="1:5">
      <c r="A22" t="s">
        <v>74</v>
      </c>
      <c r="B22">
        <v>28307.45</v>
      </c>
      <c r="C22">
        <v>5661.49</v>
      </c>
      <c r="D22">
        <v>5286.9877300000007</v>
      </c>
      <c r="E22" s="77">
        <f t="shared" si="0"/>
        <v>0.93385093500121008</v>
      </c>
    </row>
    <row r="23" spans="1:5">
      <c r="A23" t="s">
        <v>75</v>
      </c>
      <c r="B23">
        <v>1715.72</v>
      </c>
      <c r="C23">
        <v>1201.01</v>
      </c>
      <c r="D23">
        <v>1050.54692</v>
      </c>
      <c r="E23" s="77">
        <f t="shared" si="0"/>
        <v>0.87471954438347721</v>
      </c>
    </row>
    <row r="24" spans="1:5">
      <c r="A24" t="s">
        <v>76</v>
      </c>
      <c r="B24">
        <v>40535.22</v>
      </c>
      <c r="C24">
        <v>20267.61</v>
      </c>
      <c r="D24">
        <v>21143.706149999998</v>
      </c>
      <c r="E24" s="77">
        <f t="shared" si="0"/>
        <v>1.0432264164348928</v>
      </c>
    </row>
    <row r="25" spans="1:5">
      <c r="A25" t="s">
        <v>77</v>
      </c>
      <c r="B25">
        <v>60172.58</v>
      </c>
      <c r="C25">
        <v>24069.03</v>
      </c>
      <c r="D25">
        <v>21662.127</v>
      </c>
      <c r="E25" s="77">
        <f t="shared" si="0"/>
        <v>0.9</v>
      </c>
    </row>
    <row r="26" spans="1:5">
      <c r="A26" t="s">
        <v>78</v>
      </c>
      <c r="B26">
        <v>44103.26</v>
      </c>
      <c r="C26">
        <v>17641.3</v>
      </c>
      <c r="D26">
        <v>12348.91</v>
      </c>
      <c r="E26" s="77">
        <f t="shared" si="0"/>
        <v>0.70000000000000007</v>
      </c>
    </row>
    <row r="27" spans="1:5">
      <c r="A27" t="s">
        <v>79</v>
      </c>
      <c r="B27">
        <v>13028.92</v>
      </c>
      <c r="C27">
        <v>9120.25</v>
      </c>
      <c r="D27">
        <v>7364.43325</v>
      </c>
      <c r="E27" s="77">
        <f t="shared" si="0"/>
        <v>0.80748151092349441</v>
      </c>
    </row>
    <row r="28" spans="1:5">
      <c r="A28" t="s">
        <v>80</v>
      </c>
      <c r="B28">
        <v>117981.5</v>
      </c>
      <c r="C28">
        <v>88486.12</v>
      </c>
      <c r="D28">
        <v>12604.397560000001</v>
      </c>
      <c r="E28" s="77">
        <f t="shared" si="0"/>
        <v>0.14244491181215768</v>
      </c>
    </row>
    <row r="29" spans="1:5">
      <c r="A29" t="s">
        <v>81</v>
      </c>
      <c r="B29">
        <v>285261.95</v>
      </c>
      <c r="C29">
        <v>213946.46</v>
      </c>
      <c r="D29">
        <v>193224.67199999999</v>
      </c>
      <c r="E29" s="77">
        <f t="shared" si="0"/>
        <v>0.90314498309530333</v>
      </c>
    </row>
    <row r="30" spans="1:5">
      <c r="A30" t="s">
        <v>82</v>
      </c>
      <c r="B30">
        <v>57480.83</v>
      </c>
      <c r="C30">
        <v>51732.75</v>
      </c>
      <c r="D30">
        <v>15519.825000000001</v>
      </c>
      <c r="E30" s="77">
        <f t="shared" si="0"/>
        <v>0.3</v>
      </c>
    </row>
    <row r="31" spans="1:5">
      <c r="A31" t="s">
        <v>83</v>
      </c>
      <c r="B31">
        <v>3727.86</v>
      </c>
      <c r="C31">
        <v>3355.08</v>
      </c>
      <c r="D31">
        <v>3019.5720000000001</v>
      </c>
      <c r="E31" s="77">
        <f t="shared" si="0"/>
        <v>0.9</v>
      </c>
    </row>
    <row r="32" spans="1:5">
      <c r="A32" t="s">
        <v>84</v>
      </c>
      <c r="B32">
        <v>361693.66</v>
      </c>
      <c r="C32">
        <v>325524.28999999998</v>
      </c>
      <c r="D32">
        <v>292971.86100000003</v>
      </c>
      <c r="E32" s="77">
        <f t="shared" si="0"/>
        <v>0.90000000000000013</v>
      </c>
    </row>
    <row r="33" spans="1:5">
      <c r="A33" t="s">
        <v>44</v>
      </c>
      <c r="B33">
        <v>37177.199999999997</v>
      </c>
      <c r="C33">
        <v>33459.480000000003</v>
      </c>
      <c r="D33">
        <v>30037.593999999994</v>
      </c>
      <c r="E33" s="77">
        <f t="shared" si="0"/>
        <v>0.89773044888922338</v>
      </c>
    </row>
    <row r="34" spans="1:5">
      <c r="A34" t="s">
        <v>85</v>
      </c>
      <c r="B34">
        <v>59603.86</v>
      </c>
      <c r="C34">
        <v>41722.699999999997</v>
      </c>
      <c r="D34">
        <v>37550.429999999993</v>
      </c>
      <c r="E34" s="77">
        <f t="shared" si="0"/>
        <v>0.89999999999999991</v>
      </c>
    </row>
    <row r="35" spans="1:5">
      <c r="A35" t="s">
        <v>43</v>
      </c>
      <c r="B35">
        <v>209652.38</v>
      </c>
      <c r="C35">
        <v>188687.14</v>
      </c>
      <c r="D35">
        <v>169818.42600000001</v>
      </c>
      <c r="E35" s="77">
        <f t="shared" si="0"/>
        <v>0.9</v>
      </c>
    </row>
    <row r="36" spans="1:5">
      <c r="A36" t="s">
        <v>86</v>
      </c>
      <c r="B36">
        <v>31629.919999999998</v>
      </c>
      <c r="C36">
        <v>28466.92</v>
      </c>
      <c r="D36">
        <v>27988.338879999999</v>
      </c>
      <c r="E36" s="77">
        <f t="shared" si="0"/>
        <v>0.98318816647533347</v>
      </c>
    </row>
    <row r="37" spans="1:5">
      <c r="A37" t="s">
        <v>87</v>
      </c>
      <c r="B37">
        <v>66068.570000000007</v>
      </c>
      <c r="C37">
        <v>59461.71</v>
      </c>
      <c r="D37">
        <v>55899.093650000003</v>
      </c>
      <c r="E37" s="77">
        <f t="shared" si="0"/>
        <v>0.94008553823965046</v>
      </c>
    </row>
    <row r="38" spans="1:5">
      <c r="A38" t="s">
        <v>51</v>
      </c>
      <c r="B38">
        <v>18629.41</v>
      </c>
      <c r="C38">
        <v>16766.47</v>
      </c>
      <c r="D38">
        <v>13413.175999999999</v>
      </c>
      <c r="E38" s="77">
        <f t="shared" si="0"/>
        <v>0.79999999999999993</v>
      </c>
    </row>
    <row r="39" spans="1:5">
      <c r="A39" t="s">
        <v>88</v>
      </c>
      <c r="B39">
        <v>24897.49</v>
      </c>
      <c r="C39">
        <v>22407.74</v>
      </c>
      <c r="D39">
        <v>20166.966</v>
      </c>
      <c r="E39" s="77">
        <f t="shared" si="0"/>
        <v>0.89999999999999991</v>
      </c>
    </row>
    <row r="40" spans="1:5">
      <c r="A40" t="s">
        <v>89</v>
      </c>
      <c r="B40">
        <v>224408.48</v>
      </c>
      <c r="C40">
        <v>201967.63</v>
      </c>
      <c r="D40">
        <v>181770.867</v>
      </c>
      <c r="E40" s="77">
        <f t="shared" si="0"/>
        <v>0.9</v>
      </c>
    </row>
    <row r="41" spans="1:5">
      <c r="A41" t="s">
        <v>41</v>
      </c>
      <c r="B41">
        <v>102341.37</v>
      </c>
      <c r="C41">
        <v>92107.24</v>
      </c>
      <c r="D41">
        <v>82896.516000000003</v>
      </c>
      <c r="E41" s="77">
        <f t="shared" si="0"/>
        <v>0.9</v>
      </c>
    </row>
    <row r="42" spans="1:5">
      <c r="A42" t="s">
        <v>49</v>
      </c>
      <c r="B42">
        <v>834063.96</v>
      </c>
      <c r="C42">
        <v>750657.56</v>
      </c>
      <c r="D42">
        <v>675591.804</v>
      </c>
      <c r="E42" s="77">
        <f t="shared" si="0"/>
        <v>0.89999999999999991</v>
      </c>
    </row>
    <row r="43" spans="1:5">
      <c r="A43" t="s">
        <v>5</v>
      </c>
      <c r="B43">
        <v>1251588.3500000001</v>
      </c>
      <c r="C43">
        <v>1126429.51</v>
      </c>
      <c r="D43">
        <v>901143.60800000001</v>
      </c>
      <c r="E43" s="77">
        <f t="shared" si="0"/>
        <v>0.8</v>
      </c>
    </row>
    <row r="44" spans="1:5">
      <c r="A44" t="s">
        <v>37</v>
      </c>
      <c r="B44">
        <v>38244.42</v>
      </c>
      <c r="C44">
        <v>34419.980000000003</v>
      </c>
      <c r="D44">
        <v>34386.27044</v>
      </c>
      <c r="E44" s="77">
        <f t="shared" si="0"/>
        <v>0.99902063975632749</v>
      </c>
    </row>
    <row r="45" spans="1:5">
      <c r="A45" t="s">
        <v>17</v>
      </c>
      <c r="B45">
        <v>17217.48</v>
      </c>
      <c r="C45">
        <v>15495.75</v>
      </c>
      <c r="D45">
        <v>12396.599800000002</v>
      </c>
      <c r="E45" s="77">
        <f t="shared" si="0"/>
        <v>0.79999998709323539</v>
      </c>
    </row>
    <row r="46" spans="1:5">
      <c r="A46" t="s">
        <v>25</v>
      </c>
      <c r="B46">
        <v>50241.73</v>
      </c>
      <c r="C46">
        <v>45217.56</v>
      </c>
      <c r="D46">
        <v>13565.267999999998</v>
      </c>
      <c r="E46" s="77">
        <f t="shared" si="0"/>
        <v>0.3</v>
      </c>
    </row>
    <row r="47" spans="1:5">
      <c r="A47" t="s">
        <v>14</v>
      </c>
      <c r="B47">
        <v>103216.39</v>
      </c>
      <c r="C47">
        <v>92894.75</v>
      </c>
      <c r="D47">
        <v>74315.800010000006</v>
      </c>
      <c r="E47" s="77">
        <f t="shared" si="0"/>
        <v>0.80000000010764882</v>
      </c>
    </row>
    <row r="48" spans="1:5">
      <c r="A48" t="s">
        <v>12</v>
      </c>
      <c r="B48">
        <v>108539.56</v>
      </c>
      <c r="C48">
        <v>97685.6</v>
      </c>
      <c r="D48">
        <v>68379.92</v>
      </c>
      <c r="E48" s="77">
        <f t="shared" si="0"/>
        <v>0.7</v>
      </c>
    </row>
    <row r="49" spans="1:5">
      <c r="A49" t="s">
        <v>20</v>
      </c>
      <c r="B49">
        <v>63011.7</v>
      </c>
      <c r="C49">
        <v>56710.53</v>
      </c>
      <c r="D49">
        <v>39697.370999999999</v>
      </c>
      <c r="E49" s="77">
        <f t="shared" si="0"/>
        <v>0.7</v>
      </c>
    </row>
    <row r="50" spans="1:5">
      <c r="A50" t="s">
        <v>21</v>
      </c>
      <c r="B50">
        <v>171613.19</v>
      </c>
      <c r="C50">
        <v>154451.88</v>
      </c>
      <c r="D50">
        <v>92671.127999999982</v>
      </c>
      <c r="E50" s="77">
        <f t="shared" si="0"/>
        <v>0.59999999999999987</v>
      </c>
    </row>
    <row r="51" spans="1:5">
      <c r="A51" t="s">
        <v>24</v>
      </c>
      <c r="B51">
        <v>30124.799999999999</v>
      </c>
      <c r="C51">
        <v>27112.32</v>
      </c>
      <c r="D51">
        <v>21689.856</v>
      </c>
      <c r="E51" s="77">
        <f t="shared" si="0"/>
        <v>0.8</v>
      </c>
    </row>
    <row r="52" spans="1:5">
      <c r="A52" t="s">
        <v>18</v>
      </c>
      <c r="B52">
        <v>16543.43</v>
      </c>
      <c r="C52">
        <v>14889.08</v>
      </c>
      <c r="D52">
        <v>11911.263999999999</v>
      </c>
      <c r="E52" s="77">
        <f t="shared" si="0"/>
        <v>0.79999999999999993</v>
      </c>
    </row>
    <row r="53" spans="1:5">
      <c r="A53" t="s">
        <v>16</v>
      </c>
      <c r="B53">
        <v>133576.06</v>
      </c>
      <c r="C53">
        <v>120218.45</v>
      </c>
      <c r="D53">
        <v>96174.760000000009</v>
      </c>
      <c r="E53" s="77">
        <f t="shared" si="0"/>
        <v>0.8</v>
      </c>
    </row>
    <row r="54" spans="1:5">
      <c r="A54" t="s">
        <v>23</v>
      </c>
      <c r="B54">
        <v>1256268.78</v>
      </c>
      <c r="C54">
        <v>1130641.8999999999</v>
      </c>
      <c r="D54">
        <v>339192.57</v>
      </c>
      <c r="E54" s="77">
        <f t="shared" si="0"/>
        <v>0.30000000000000004</v>
      </c>
    </row>
    <row r="55" spans="1:5">
      <c r="A55" t="s">
        <v>22</v>
      </c>
      <c r="B55">
        <v>129343.83</v>
      </c>
      <c r="C55">
        <v>116409.45</v>
      </c>
      <c r="D55">
        <v>34922.835000000006</v>
      </c>
      <c r="E55" s="77">
        <f t="shared" si="0"/>
        <v>0.30000000000000004</v>
      </c>
    </row>
    <row r="56" spans="1:5">
      <c r="A56" t="s">
        <v>90</v>
      </c>
      <c r="B56">
        <v>903380.24</v>
      </c>
      <c r="C56">
        <v>587197.16</v>
      </c>
      <c r="D56">
        <v>528477.44400000002</v>
      </c>
      <c r="E56" s="77">
        <f t="shared" si="0"/>
        <v>0.9</v>
      </c>
    </row>
    <row r="57" spans="1:5">
      <c r="A57" t="s">
        <v>91</v>
      </c>
      <c r="B57">
        <v>122134.65</v>
      </c>
      <c r="C57">
        <v>79387.520000000004</v>
      </c>
      <c r="D57">
        <v>33001.392060000006</v>
      </c>
      <c r="E57" s="77">
        <f t="shared" si="0"/>
        <v>0.41569999994961432</v>
      </c>
    </row>
    <row r="58" spans="1:5">
      <c r="A58" t="s">
        <v>92</v>
      </c>
      <c r="B58">
        <v>128396.14</v>
      </c>
      <c r="C58">
        <v>106992.5</v>
      </c>
      <c r="D58">
        <v>49885.685036659997</v>
      </c>
      <c r="E58" s="77">
        <f t="shared" si="0"/>
        <v>0.46625403684052619</v>
      </c>
    </row>
    <row r="59" spans="1:5">
      <c r="A59" t="s">
        <v>93</v>
      </c>
      <c r="B59">
        <v>350102.5</v>
      </c>
      <c r="C59">
        <v>227566.63</v>
      </c>
      <c r="D59">
        <v>212774.79905</v>
      </c>
      <c r="E59" s="77">
        <f t="shared" si="0"/>
        <v>0.93499999999999994</v>
      </c>
    </row>
    <row r="60" spans="1:5">
      <c r="A60" t="s">
        <v>94</v>
      </c>
      <c r="B60">
        <v>77835.12</v>
      </c>
      <c r="C60">
        <v>70051.61</v>
      </c>
      <c r="D60">
        <v>21015.483</v>
      </c>
      <c r="E60" s="77">
        <f t="shared" si="0"/>
        <v>0.3</v>
      </c>
    </row>
    <row r="61" spans="1:5">
      <c r="A61" t="s">
        <v>95</v>
      </c>
      <c r="B61">
        <v>475567.61</v>
      </c>
      <c r="C61">
        <v>356675.71</v>
      </c>
      <c r="D61">
        <v>240029.51349738997</v>
      </c>
      <c r="E61" s="77">
        <f t="shared" si="0"/>
        <v>0.6729628813170091</v>
      </c>
    </row>
    <row r="62" spans="1:5">
      <c r="A62" t="s">
        <v>96</v>
      </c>
      <c r="B62">
        <v>328113.36</v>
      </c>
      <c r="C62">
        <v>295302.02</v>
      </c>
      <c r="D62">
        <v>265771.87199999997</v>
      </c>
      <c r="E62" s="77">
        <f t="shared" si="0"/>
        <v>0.90000018286363215</v>
      </c>
    </row>
    <row r="63" spans="1:5">
      <c r="A63" t="s">
        <v>97</v>
      </c>
      <c r="B63">
        <v>11692.56</v>
      </c>
      <c r="C63">
        <v>10523.31</v>
      </c>
      <c r="D63">
        <v>7936.570130000001</v>
      </c>
      <c r="E63" s="77">
        <f t="shared" si="0"/>
        <v>0.75418952116776961</v>
      </c>
    </row>
    <row r="64" spans="1:5">
      <c r="A64" t="s">
        <v>98</v>
      </c>
      <c r="B64">
        <v>172681.14</v>
      </c>
      <c r="C64">
        <v>164392.29</v>
      </c>
      <c r="D64">
        <v>96908.562600000005</v>
      </c>
      <c r="E64" s="77">
        <f t="shared" si="0"/>
        <v>0.5894957883973756</v>
      </c>
    </row>
    <row r="65" spans="1:5">
      <c r="A65" t="s">
        <v>48</v>
      </c>
      <c r="B65">
        <v>82637.009999999995</v>
      </c>
      <c r="C65">
        <v>74373.31</v>
      </c>
      <c r="D65">
        <v>52691.082159999998</v>
      </c>
      <c r="E65" s="77">
        <f t="shared" si="0"/>
        <v>0.70846762312985667</v>
      </c>
    </row>
    <row r="66" spans="1:5">
      <c r="A66" t="s">
        <v>99</v>
      </c>
      <c r="B66">
        <v>35403.18</v>
      </c>
      <c r="C66">
        <v>31862.86</v>
      </c>
      <c r="D66">
        <v>28687.458230000004</v>
      </c>
      <c r="E66" s="77">
        <f t="shared" si="0"/>
        <v>0.90034159614045961</v>
      </c>
    </row>
    <row r="67" spans="1:5">
      <c r="A67" t="s">
        <v>100</v>
      </c>
      <c r="B67">
        <v>145321.49</v>
      </c>
      <c r="C67">
        <v>108991.12</v>
      </c>
      <c r="D67">
        <v>98092.592999999993</v>
      </c>
      <c r="E67" s="77">
        <f t="shared" ref="E67:E114" si="1">D67/C67</f>
        <v>0.90000536740974857</v>
      </c>
    </row>
    <row r="68" spans="1:5">
      <c r="A68" t="s">
        <v>46</v>
      </c>
      <c r="B68">
        <v>260709.64</v>
      </c>
      <c r="C68">
        <v>182496.74</v>
      </c>
      <c r="D68">
        <v>164247.06599999999</v>
      </c>
      <c r="E68" s="77">
        <f t="shared" si="1"/>
        <v>0.9</v>
      </c>
    </row>
    <row r="69" spans="1:5">
      <c r="A69" t="s">
        <v>101</v>
      </c>
      <c r="B69">
        <v>235373.12</v>
      </c>
      <c r="C69">
        <v>164761.18</v>
      </c>
      <c r="D69">
        <v>148285.06200000001</v>
      </c>
      <c r="E69" s="77">
        <f t="shared" si="1"/>
        <v>0.9</v>
      </c>
    </row>
    <row r="70" spans="1:5">
      <c r="A70" t="s">
        <v>102</v>
      </c>
      <c r="B70">
        <v>173904.56</v>
      </c>
      <c r="C70">
        <v>104342.73</v>
      </c>
      <c r="D70">
        <v>82249.961989999996</v>
      </c>
      <c r="E70" s="77">
        <f t="shared" si="1"/>
        <v>0.78826729940840157</v>
      </c>
    </row>
    <row r="71" spans="1:5">
      <c r="A71" t="s">
        <v>103</v>
      </c>
      <c r="B71">
        <v>1052914.19</v>
      </c>
      <c r="C71">
        <v>684394.22</v>
      </c>
      <c r="D71">
        <v>615954.79799999995</v>
      </c>
      <c r="E71" s="77">
        <f t="shared" si="1"/>
        <v>0.89999999999999991</v>
      </c>
    </row>
    <row r="72" spans="1:5">
      <c r="A72" t="s">
        <v>47</v>
      </c>
      <c r="B72">
        <v>104637.33</v>
      </c>
      <c r="C72">
        <v>94173.6</v>
      </c>
      <c r="D72">
        <v>84756.233999999997</v>
      </c>
      <c r="E72" s="77">
        <f t="shared" si="1"/>
        <v>0.89999993628787678</v>
      </c>
    </row>
    <row r="73" spans="1:5">
      <c r="A73" t="s">
        <v>39</v>
      </c>
      <c r="B73">
        <v>46164.3</v>
      </c>
      <c r="C73">
        <v>41574.870000000003</v>
      </c>
      <c r="D73">
        <v>37417.383000000002</v>
      </c>
      <c r="E73" s="77">
        <f t="shared" si="1"/>
        <v>0.9</v>
      </c>
    </row>
    <row r="74" spans="1:5">
      <c r="A74" t="s">
        <v>50</v>
      </c>
      <c r="B74">
        <v>564391.37</v>
      </c>
      <c r="C74">
        <v>395073.96</v>
      </c>
      <c r="D74">
        <v>355839.57900000003</v>
      </c>
      <c r="E74" s="77">
        <f t="shared" si="1"/>
        <v>0.90069104782304565</v>
      </c>
    </row>
    <row r="75" spans="1:5">
      <c r="A75" t="s">
        <v>104</v>
      </c>
      <c r="B75">
        <v>127178</v>
      </c>
      <c r="C75">
        <v>76306.8</v>
      </c>
      <c r="D75">
        <v>68676.12</v>
      </c>
      <c r="E75" s="77">
        <f t="shared" si="1"/>
        <v>0.89999999999999991</v>
      </c>
    </row>
    <row r="76" spans="1:5">
      <c r="A76" t="s">
        <v>40</v>
      </c>
      <c r="B76">
        <v>165723.4</v>
      </c>
      <c r="C76">
        <v>149151.06</v>
      </c>
      <c r="D76">
        <v>104405.742</v>
      </c>
      <c r="E76" s="77">
        <f t="shared" si="1"/>
        <v>0.7</v>
      </c>
    </row>
    <row r="77" spans="1:5">
      <c r="A77" t="s">
        <v>38</v>
      </c>
      <c r="B77">
        <v>13302.07</v>
      </c>
      <c r="C77">
        <v>9311.4500000000007</v>
      </c>
      <c r="D77">
        <v>2331.2160000000003</v>
      </c>
      <c r="E77" s="77">
        <f t="shared" si="1"/>
        <v>0.25036014798984046</v>
      </c>
    </row>
    <row r="78" spans="1:5">
      <c r="A78" t="s">
        <v>8</v>
      </c>
      <c r="B78">
        <v>931328.57</v>
      </c>
      <c r="C78">
        <v>605363.56999999995</v>
      </c>
      <c r="D78">
        <v>544827.21299999999</v>
      </c>
      <c r="E78" s="77">
        <f t="shared" si="1"/>
        <v>0.9</v>
      </c>
    </row>
    <row r="79" spans="1:5">
      <c r="A79" t="s">
        <v>45</v>
      </c>
      <c r="B79">
        <v>294243.5</v>
      </c>
      <c r="C79">
        <v>264819.15000000002</v>
      </c>
      <c r="D79">
        <v>238431.82499999998</v>
      </c>
      <c r="E79" s="77">
        <f t="shared" si="1"/>
        <v>0.90035718715961421</v>
      </c>
    </row>
    <row r="80" spans="1:5">
      <c r="A80" t="s">
        <v>9</v>
      </c>
      <c r="B80">
        <v>355288.13</v>
      </c>
      <c r="C80">
        <v>248701.69</v>
      </c>
      <c r="D80">
        <v>198978.17600000001</v>
      </c>
      <c r="E80" s="77">
        <f t="shared" si="1"/>
        <v>0.8000676473087095</v>
      </c>
    </row>
    <row r="81" spans="1:5">
      <c r="A81" t="s">
        <v>10</v>
      </c>
      <c r="B81">
        <v>1562065.53</v>
      </c>
      <c r="C81">
        <v>1405858.98</v>
      </c>
      <c r="D81">
        <v>843515.38799999992</v>
      </c>
      <c r="E81" s="77">
        <f t="shared" si="1"/>
        <v>0.6</v>
      </c>
    </row>
    <row r="82" spans="1:5">
      <c r="A82" t="s">
        <v>7</v>
      </c>
      <c r="B82">
        <v>61020.62</v>
      </c>
      <c r="C82">
        <v>54918.559999999998</v>
      </c>
      <c r="D82">
        <v>27459.279999999999</v>
      </c>
      <c r="E82" s="77">
        <f t="shared" si="1"/>
        <v>0.5</v>
      </c>
    </row>
    <row r="83" spans="1:5">
      <c r="A83" t="s">
        <v>11</v>
      </c>
      <c r="B83">
        <v>91088.53</v>
      </c>
      <c r="C83">
        <v>81979.679999999993</v>
      </c>
      <c r="D83">
        <v>65583.744000000006</v>
      </c>
      <c r="E83" s="77">
        <f t="shared" si="1"/>
        <v>0.80000000000000016</v>
      </c>
    </row>
    <row r="84" spans="1:5">
      <c r="A84" t="s">
        <v>27</v>
      </c>
      <c r="B84">
        <v>1167187.74</v>
      </c>
      <c r="C84">
        <v>933750.19</v>
      </c>
      <c r="D84">
        <v>280125.05700000003</v>
      </c>
      <c r="E84" s="77">
        <f t="shared" si="1"/>
        <v>0.30000000000000004</v>
      </c>
    </row>
    <row r="85" spans="1:5">
      <c r="A85" t="s">
        <v>13</v>
      </c>
      <c r="B85">
        <v>237942.12</v>
      </c>
      <c r="C85">
        <v>214147.908</v>
      </c>
      <c r="D85">
        <v>64244.3724</v>
      </c>
      <c r="E85" s="77">
        <f t="shared" si="1"/>
        <v>0.3</v>
      </c>
    </row>
    <row r="86" spans="1:5">
      <c r="A86" t="s">
        <v>15</v>
      </c>
      <c r="B86">
        <v>2981.91</v>
      </c>
      <c r="C86">
        <v>2385.5279999999998</v>
      </c>
      <c r="D86">
        <v>715.65840000000014</v>
      </c>
      <c r="E86" s="77">
        <f t="shared" si="1"/>
        <v>0.3000000000000001</v>
      </c>
    </row>
    <row r="87" spans="1:5">
      <c r="A87" t="s">
        <v>19</v>
      </c>
      <c r="B87">
        <v>173978.62</v>
      </c>
      <c r="C87">
        <v>156580.76</v>
      </c>
      <c r="D87">
        <v>125264.60800000001</v>
      </c>
      <c r="E87" s="77">
        <f t="shared" si="1"/>
        <v>0.8</v>
      </c>
    </row>
    <row r="88" spans="1:5">
      <c r="A88" t="s">
        <v>34</v>
      </c>
      <c r="B88">
        <v>719433.56</v>
      </c>
      <c r="C88">
        <v>575546.85</v>
      </c>
      <c r="D88">
        <v>172664.05499999999</v>
      </c>
      <c r="E88" s="77">
        <f t="shared" si="1"/>
        <v>0.3</v>
      </c>
    </row>
    <row r="89" spans="1:5">
      <c r="A89" t="s">
        <v>26</v>
      </c>
      <c r="B89">
        <v>1774.42</v>
      </c>
      <c r="C89">
        <v>1419.54</v>
      </c>
      <c r="D89">
        <v>425.86199999999997</v>
      </c>
      <c r="E89" s="77">
        <f t="shared" si="1"/>
        <v>0.3</v>
      </c>
    </row>
    <row r="90" spans="1:5">
      <c r="A90" t="s">
        <v>105</v>
      </c>
      <c r="B90">
        <v>484942.84</v>
      </c>
      <c r="C90">
        <v>436448.56</v>
      </c>
      <c r="D90">
        <v>130934.568</v>
      </c>
      <c r="E90" s="77">
        <f t="shared" si="1"/>
        <v>0.3</v>
      </c>
    </row>
    <row r="91" spans="1:5">
      <c r="A91" t="s">
        <v>30</v>
      </c>
      <c r="B91">
        <v>55476.99</v>
      </c>
      <c r="C91">
        <v>44381.59</v>
      </c>
      <c r="D91">
        <v>13314.476999999999</v>
      </c>
      <c r="E91" s="77">
        <f t="shared" si="1"/>
        <v>0.3</v>
      </c>
    </row>
    <row r="92" spans="1:5">
      <c r="A92" t="s">
        <v>29</v>
      </c>
      <c r="B92">
        <v>91304.44</v>
      </c>
      <c r="C92">
        <v>82174</v>
      </c>
      <c r="D92">
        <v>24652.2</v>
      </c>
      <c r="E92" s="77">
        <f t="shared" si="1"/>
        <v>0.3</v>
      </c>
    </row>
    <row r="93" spans="1:5">
      <c r="A93" t="s">
        <v>32</v>
      </c>
      <c r="B93">
        <v>50392</v>
      </c>
      <c r="C93">
        <v>45352.800000000003</v>
      </c>
      <c r="D93">
        <v>13605.84</v>
      </c>
      <c r="E93" s="77">
        <f t="shared" si="1"/>
        <v>0.3</v>
      </c>
    </row>
    <row r="94" spans="1:5">
      <c r="A94" t="s">
        <v>33</v>
      </c>
      <c r="B94">
        <v>9029.48</v>
      </c>
      <c r="C94">
        <v>8126.53</v>
      </c>
      <c r="D94">
        <v>0</v>
      </c>
      <c r="E94" s="77">
        <f t="shared" si="1"/>
        <v>0</v>
      </c>
    </row>
    <row r="95" spans="1:5">
      <c r="A95" t="s">
        <v>106</v>
      </c>
      <c r="B95">
        <v>28833.4</v>
      </c>
      <c r="C95">
        <v>25950.06</v>
      </c>
      <c r="D95">
        <v>7785.018</v>
      </c>
      <c r="E95" s="77">
        <f t="shared" si="1"/>
        <v>0.3</v>
      </c>
    </row>
    <row r="96" spans="1:5">
      <c r="A96" t="s">
        <v>107</v>
      </c>
      <c r="B96">
        <v>280839.24</v>
      </c>
      <c r="C96">
        <v>252755.32</v>
      </c>
      <c r="D96">
        <v>227479.842</v>
      </c>
      <c r="E96" s="77">
        <f t="shared" si="1"/>
        <v>0.90000021364535476</v>
      </c>
    </row>
    <row r="97" spans="1:5">
      <c r="A97" t="s">
        <v>108</v>
      </c>
      <c r="B97">
        <v>164367.25</v>
      </c>
      <c r="C97">
        <v>147930.51999999999</v>
      </c>
      <c r="D97">
        <v>133479.38699999999</v>
      </c>
      <c r="E97" s="77">
        <f t="shared" si="1"/>
        <v>0.9023113485979769</v>
      </c>
    </row>
    <row r="98" spans="1:5">
      <c r="A98" t="s">
        <v>109</v>
      </c>
      <c r="B98">
        <v>217023.3</v>
      </c>
      <c r="C98">
        <v>195320.97</v>
      </c>
      <c r="D98">
        <v>39064.194000000003</v>
      </c>
      <c r="E98" s="77">
        <f t="shared" si="1"/>
        <v>0.2</v>
      </c>
    </row>
    <row r="99" spans="1:5">
      <c r="A99" t="s">
        <v>110</v>
      </c>
      <c r="B99">
        <v>394876.3</v>
      </c>
      <c r="C99">
        <v>296157.23</v>
      </c>
      <c r="D99">
        <v>5367.6193400000002</v>
      </c>
      <c r="E99" s="77">
        <f t="shared" si="1"/>
        <v>1.8124221853371605E-2</v>
      </c>
    </row>
    <row r="100" spans="1:5">
      <c r="A100" t="s">
        <v>111</v>
      </c>
      <c r="B100">
        <v>65667.67</v>
      </c>
      <c r="C100">
        <v>54077.33</v>
      </c>
      <c r="D100">
        <v>70032.864001900001</v>
      </c>
      <c r="E100" s="77">
        <f t="shared" si="1"/>
        <v>1.2950503288882791</v>
      </c>
    </row>
    <row r="101" spans="1:5">
      <c r="A101" t="s">
        <v>112</v>
      </c>
      <c r="B101">
        <v>71118.460000000006</v>
      </c>
      <c r="C101">
        <v>59263.02</v>
      </c>
      <c r="D101">
        <v>23705.207999999999</v>
      </c>
      <c r="E101" s="77">
        <f t="shared" si="1"/>
        <v>0.4</v>
      </c>
    </row>
    <row r="102" spans="1:5">
      <c r="A102" t="s">
        <v>113</v>
      </c>
      <c r="B102">
        <v>27960.19</v>
      </c>
      <c r="C102">
        <v>16776.12</v>
      </c>
      <c r="D102">
        <v>15686.775</v>
      </c>
      <c r="E102" s="77">
        <f t="shared" si="1"/>
        <v>0.93506573629659306</v>
      </c>
    </row>
    <row r="103" spans="1:5">
      <c r="A103" t="s">
        <v>114</v>
      </c>
      <c r="B103">
        <v>140423.75</v>
      </c>
      <c r="C103">
        <v>105317.81</v>
      </c>
      <c r="D103">
        <v>10603.989835599999</v>
      </c>
      <c r="E103" s="77">
        <f t="shared" si="1"/>
        <v>0.10068562796358944</v>
      </c>
    </row>
    <row r="104" spans="1:5">
      <c r="A104" t="s">
        <v>115</v>
      </c>
      <c r="B104">
        <v>161208.16</v>
      </c>
      <c r="C104">
        <v>120906.12</v>
      </c>
      <c r="D104">
        <v>73126.584000000003</v>
      </c>
      <c r="E104" s="77">
        <f t="shared" si="1"/>
        <v>0.6048211951553818</v>
      </c>
    </row>
    <row r="105" spans="1:5">
      <c r="A105" t="s">
        <v>116</v>
      </c>
      <c r="B105">
        <v>161208.16</v>
      </c>
      <c r="C105">
        <v>120906.12</v>
      </c>
      <c r="D105">
        <v>12267.570730000001</v>
      </c>
      <c r="E105" s="77">
        <f t="shared" si="1"/>
        <v>0.10146360440646017</v>
      </c>
    </row>
    <row r="106" spans="1:5">
      <c r="A106" t="s">
        <v>117</v>
      </c>
      <c r="B106">
        <v>39960.46</v>
      </c>
      <c r="C106">
        <v>35964.410000000003</v>
      </c>
      <c r="D106">
        <v>7192.8819999999996</v>
      </c>
      <c r="E106" s="77">
        <f t="shared" si="1"/>
        <v>0.19999999999999998</v>
      </c>
    </row>
    <row r="107" spans="1:5">
      <c r="A107" t="s">
        <v>118</v>
      </c>
      <c r="B107">
        <v>39970.949999999997</v>
      </c>
      <c r="C107">
        <v>35973.86</v>
      </c>
      <c r="D107">
        <v>21584.322</v>
      </c>
      <c r="E107" s="77">
        <f t="shared" si="1"/>
        <v>0.60000016678777313</v>
      </c>
    </row>
    <row r="108" spans="1:5">
      <c r="A108" t="s">
        <v>119</v>
      </c>
      <c r="B108">
        <v>685321.24</v>
      </c>
      <c r="C108">
        <v>513990.93</v>
      </c>
      <c r="D108">
        <v>10876.56768</v>
      </c>
      <c r="E108" s="77">
        <f t="shared" si="1"/>
        <v>2.1161010915114787E-2</v>
      </c>
    </row>
    <row r="109" spans="1:5">
      <c r="A109" t="s">
        <v>120</v>
      </c>
      <c r="B109">
        <v>203296.38</v>
      </c>
      <c r="C109">
        <v>182966.74</v>
      </c>
      <c r="D109">
        <v>178199.81588400001</v>
      </c>
      <c r="E109" s="77">
        <f t="shared" si="1"/>
        <v>0.97394649915061071</v>
      </c>
    </row>
    <row r="110" spans="1:5">
      <c r="A110" t="s">
        <v>121</v>
      </c>
      <c r="B110">
        <v>62141.7</v>
      </c>
      <c r="C110">
        <v>55928.09</v>
      </c>
      <c r="D110">
        <v>22371.236000000001</v>
      </c>
      <c r="E110" s="77">
        <f t="shared" si="1"/>
        <v>0.4</v>
      </c>
    </row>
    <row r="111" spans="1:5">
      <c r="A111" t="s">
        <v>122</v>
      </c>
      <c r="B111">
        <v>144451.95000000001</v>
      </c>
      <c r="C111">
        <v>108616.76</v>
      </c>
      <c r="D111">
        <v>2719.6153200000003</v>
      </c>
      <c r="E111" s="77">
        <f t="shared" si="1"/>
        <v>2.503863418500055E-2</v>
      </c>
    </row>
    <row r="112" spans="1:5">
      <c r="A112" t="s">
        <v>123</v>
      </c>
      <c r="B112">
        <v>423832.7</v>
      </c>
      <c r="C112">
        <v>381449.43</v>
      </c>
      <c r="D112">
        <v>114434.829</v>
      </c>
      <c r="E112" s="77">
        <f t="shared" si="1"/>
        <v>0.3</v>
      </c>
    </row>
    <row r="113" spans="1:5">
      <c r="A113" t="s">
        <v>124</v>
      </c>
      <c r="B113">
        <v>362082.7</v>
      </c>
      <c r="C113">
        <v>325874.43</v>
      </c>
      <c r="D113">
        <v>97762.328999999998</v>
      </c>
      <c r="E113" s="77">
        <f t="shared" si="1"/>
        <v>0.3</v>
      </c>
    </row>
    <row r="114" spans="1:5">
      <c r="A114" t="s">
        <v>125</v>
      </c>
      <c r="B114">
        <v>22797813.229999997</v>
      </c>
      <c r="C114">
        <v>18451708.355999999</v>
      </c>
      <c r="D114">
        <v>11846443.04330555</v>
      </c>
      <c r="E114" s="77">
        <f t="shared" si="1"/>
        <v>0.64202418631082503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314E-623A-4F6B-9C26-75F7289765C0}">
  <dimension ref="A1:AQ341"/>
  <sheetViews>
    <sheetView showGridLines="0" tabSelected="1" topLeftCell="H1" zoomScale="98" zoomScaleNormal="98" workbookViewId="0">
      <selection activeCell="T372" sqref="T372"/>
    </sheetView>
  </sheetViews>
  <sheetFormatPr defaultColWidth="8.85546875" defaultRowHeight="15"/>
  <cols>
    <col min="1" max="1" width="11.140625" customWidth="1"/>
    <col min="2" max="2" width="16.140625" bestFit="1" customWidth="1"/>
    <col min="3" max="3" width="17.85546875" bestFit="1" customWidth="1"/>
    <col min="4" max="4" width="71.7109375" bestFit="1" customWidth="1"/>
    <col min="5" max="5" width="15.5703125" bestFit="1" customWidth="1"/>
    <col min="6" max="6" width="42.5703125" bestFit="1" customWidth="1"/>
    <col min="7" max="7" width="13.7109375" customWidth="1"/>
    <col min="8" max="8" width="21.42578125" style="1" customWidth="1"/>
    <col min="9" max="9" width="16.42578125" style="1" bestFit="1" customWidth="1"/>
    <col min="10" max="10" width="16.42578125" style="53" customWidth="1"/>
    <col min="11" max="11" width="18.140625" customWidth="1"/>
    <col min="12" max="12" width="11.7109375" bestFit="1" customWidth="1"/>
    <col min="13" max="13" width="19.28515625" style="39" customWidth="1"/>
    <col min="14" max="14" width="12.140625" bestFit="1" customWidth="1"/>
    <col min="15" max="15" width="20.42578125" bestFit="1" customWidth="1"/>
    <col min="16" max="16" width="16.140625" bestFit="1" customWidth="1"/>
    <col min="17" max="17" width="15" customWidth="1"/>
    <col min="18" max="18" width="16.7109375" style="1" bestFit="1" customWidth="1"/>
    <col min="19" max="19" width="18.42578125" style="1" customWidth="1"/>
    <col min="20" max="20" width="16.42578125" style="1" bestFit="1" customWidth="1"/>
    <col min="21" max="21" width="16.42578125" style="1" customWidth="1"/>
    <col min="22" max="22" width="19.28515625" customWidth="1"/>
    <col min="23" max="23" width="19.42578125" bestFit="1" customWidth="1"/>
    <col min="24" max="24" width="26.7109375" style="1" bestFit="1" customWidth="1"/>
    <col min="25" max="25" width="19.140625" style="1" customWidth="1"/>
    <col min="26" max="26" width="21.7109375" bestFit="1" customWidth="1"/>
    <col min="27" max="27" width="12.28515625" bestFit="1" customWidth="1"/>
    <col min="28" max="28" width="12.140625" customWidth="1"/>
    <col min="29" max="29" width="23.5703125" bestFit="1" customWidth="1"/>
    <col min="30" max="30" width="25.85546875" bestFit="1" customWidth="1"/>
    <col min="31" max="31" width="29.5703125" style="77" customWidth="1"/>
    <col min="32" max="32" width="15.5703125" customWidth="1"/>
    <col min="33" max="33" width="19.140625" customWidth="1"/>
    <col min="34" max="34" width="21.140625" bestFit="1" customWidth="1"/>
    <col min="35" max="36" width="16.42578125" bestFit="1" customWidth="1"/>
    <col min="37" max="37" width="17.42578125" customWidth="1"/>
    <col min="38" max="39" width="15.85546875" customWidth="1"/>
    <col min="40" max="40" width="19" customWidth="1"/>
    <col min="41" max="41" width="17.5703125" customWidth="1"/>
    <col min="42" max="42" width="35.5703125" bestFit="1" customWidth="1"/>
    <col min="43" max="43" width="14" style="101" customWidth="1"/>
  </cols>
  <sheetData>
    <row r="1" spans="1:43" ht="40.5">
      <c r="A1" s="102" t="s">
        <v>127</v>
      </c>
      <c r="B1" s="59" t="s">
        <v>128</v>
      </c>
      <c r="C1" s="59" t="s">
        <v>129</v>
      </c>
      <c r="D1" s="59" t="s">
        <v>130</v>
      </c>
      <c r="E1" s="59" t="s">
        <v>131</v>
      </c>
      <c r="F1" s="59" t="s">
        <v>132</v>
      </c>
      <c r="G1" s="59" t="s">
        <v>133</v>
      </c>
      <c r="H1" s="60" t="s">
        <v>134</v>
      </c>
      <c r="I1" s="60" t="s">
        <v>135</v>
      </c>
      <c r="J1" s="61" t="s">
        <v>136</v>
      </c>
      <c r="K1" s="59" t="s">
        <v>137</v>
      </c>
      <c r="L1" s="59" t="s">
        <v>138</v>
      </c>
      <c r="M1" s="62" t="s">
        <v>139</v>
      </c>
      <c r="N1" s="59" t="s">
        <v>140</v>
      </c>
      <c r="O1" s="59" t="s">
        <v>141</v>
      </c>
      <c r="P1" s="59" t="s">
        <v>142</v>
      </c>
      <c r="Q1" s="63" t="s">
        <v>143</v>
      </c>
      <c r="R1" s="63" t="s">
        <v>144</v>
      </c>
      <c r="S1" s="63" t="s">
        <v>145</v>
      </c>
      <c r="T1" s="63" t="s">
        <v>146</v>
      </c>
      <c r="U1" s="63" t="s">
        <v>147</v>
      </c>
      <c r="V1" s="63" t="s">
        <v>148</v>
      </c>
      <c r="W1" s="44" t="s">
        <v>149</v>
      </c>
      <c r="X1" s="44" t="s">
        <v>150</v>
      </c>
      <c r="Y1" s="44" t="s">
        <v>151</v>
      </c>
      <c r="Z1" s="44" t="s">
        <v>152</v>
      </c>
      <c r="AA1" s="44" t="s">
        <v>153</v>
      </c>
      <c r="AB1" s="44" t="s">
        <v>154</v>
      </c>
      <c r="AC1" s="44" t="s">
        <v>155</v>
      </c>
      <c r="AD1" s="44" t="s">
        <v>156</v>
      </c>
      <c r="AE1" s="80" t="s">
        <v>157</v>
      </c>
      <c r="AF1" s="44" t="s">
        <v>158</v>
      </c>
      <c r="AG1" s="44" t="s">
        <v>159</v>
      </c>
      <c r="AH1" s="44" t="s">
        <v>160</v>
      </c>
      <c r="AI1" s="44" t="s">
        <v>161</v>
      </c>
      <c r="AJ1" s="44" t="s">
        <v>162</v>
      </c>
      <c r="AK1" s="44" t="s">
        <v>163</v>
      </c>
      <c r="AL1" s="44" t="s">
        <v>164</v>
      </c>
      <c r="AM1" s="44" t="s">
        <v>165</v>
      </c>
      <c r="AN1" s="44" t="s">
        <v>166</v>
      </c>
      <c r="AO1" s="44" t="s">
        <v>167</v>
      </c>
      <c r="AP1" s="44" t="s">
        <v>168</v>
      </c>
      <c r="AQ1" s="99" t="s">
        <v>169</v>
      </c>
    </row>
    <row r="2" spans="1:43" hidden="1">
      <c r="A2" s="103">
        <v>44013</v>
      </c>
      <c r="B2" s="47" t="s">
        <v>170</v>
      </c>
      <c r="C2" s="2" t="s">
        <v>170</v>
      </c>
      <c r="D2" s="2" t="s">
        <v>171</v>
      </c>
      <c r="E2" s="4" t="s">
        <v>172</v>
      </c>
      <c r="F2" s="4" t="s">
        <v>173</v>
      </c>
      <c r="G2" s="5">
        <v>44013</v>
      </c>
      <c r="H2" s="31">
        <v>1398961.8399999999</v>
      </c>
      <c r="I2" s="31">
        <v>1398961.8399999999</v>
      </c>
      <c r="J2" s="52">
        <f t="shared" ref="J2:J33" si="0">I2/1000</f>
        <v>1398.9618399999999</v>
      </c>
      <c r="K2" s="6" t="s">
        <v>174</v>
      </c>
      <c r="L2" s="7" t="s">
        <v>175</v>
      </c>
      <c r="M2" s="34" t="s">
        <v>54</v>
      </c>
      <c r="N2" s="7" t="s">
        <v>176</v>
      </c>
      <c r="O2" s="7" t="s">
        <v>177</v>
      </c>
      <c r="P2" s="7" t="s">
        <v>178</v>
      </c>
      <c r="Q2" s="8" t="s">
        <v>179</v>
      </c>
      <c r="R2" s="9">
        <v>2143980</v>
      </c>
      <c r="S2" s="54">
        <f t="shared" ref="S2:S65" si="1">R2/1000</f>
        <v>2143.98</v>
      </c>
      <c r="T2" s="9">
        <v>1715180</v>
      </c>
      <c r="U2" s="54">
        <f t="shared" ref="U2:U65" si="2">T2/1000</f>
        <v>1715.18</v>
      </c>
      <c r="V2" s="10">
        <v>0.79999813431095435</v>
      </c>
      <c r="W2" s="11" t="s">
        <v>180</v>
      </c>
      <c r="X2" s="9">
        <v>0</v>
      </c>
      <c r="Y2" s="9">
        <f t="shared" ref="Y2:Y65" si="3">X2/1000</f>
        <v>0</v>
      </c>
      <c r="Z2" s="11">
        <v>0</v>
      </c>
      <c r="AA2" s="11" t="s">
        <v>36</v>
      </c>
      <c r="AB2" s="66" t="s">
        <v>181</v>
      </c>
      <c r="AC2" s="11" t="s">
        <v>182</v>
      </c>
      <c r="AD2" s="11" t="s">
        <v>183</v>
      </c>
      <c r="AE2" s="10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7" t="s">
        <v>184</v>
      </c>
      <c r="AQ2" s="100">
        <v>0</v>
      </c>
    </row>
    <row r="3" spans="1:43" hidden="1">
      <c r="A3" s="103">
        <v>44013</v>
      </c>
      <c r="B3" s="47" t="s">
        <v>170</v>
      </c>
      <c r="C3" s="2" t="s">
        <v>185</v>
      </c>
      <c r="D3" s="2" t="s">
        <v>171</v>
      </c>
      <c r="E3" s="4" t="s">
        <v>186</v>
      </c>
      <c r="F3" s="4" t="s">
        <v>173</v>
      </c>
      <c r="G3" s="5">
        <v>44013</v>
      </c>
      <c r="H3" s="31">
        <v>3199935.75</v>
      </c>
      <c r="I3" s="31">
        <v>3199935.75</v>
      </c>
      <c r="J3" s="52">
        <f t="shared" si="0"/>
        <v>3199.9357500000001</v>
      </c>
      <c r="K3" s="6" t="s">
        <v>174</v>
      </c>
      <c r="L3" s="7" t="s">
        <v>175</v>
      </c>
      <c r="M3" s="34" t="s">
        <v>55</v>
      </c>
      <c r="N3" s="7" t="s">
        <v>176</v>
      </c>
      <c r="O3" s="7" t="s">
        <v>177</v>
      </c>
      <c r="P3" s="7" t="s">
        <v>178</v>
      </c>
      <c r="Q3" s="8" t="s">
        <v>179</v>
      </c>
      <c r="R3" s="9">
        <v>4658080</v>
      </c>
      <c r="S3" s="54">
        <f t="shared" si="1"/>
        <v>4658.08</v>
      </c>
      <c r="T3" s="9">
        <v>3959370</v>
      </c>
      <c r="U3" s="54">
        <f t="shared" si="2"/>
        <v>3959.37</v>
      </c>
      <c r="V3" s="10">
        <v>0.85000042936145359</v>
      </c>
      <c r="W3" s="11" t="s">
        <v>180</v>
      </c>
      <c r="X3" s="9">
        <v>0</v>
      </c>
      <c r="Y3" s="9">
        <f t="shared" si="3"/>
        <v>0</v>
      </c>
      <c r="Z3" s="11">
        <v>0</v>
      </c>
      <c r="AA3" s="11" t="s">
        <v>36</v>
      </c>
      <c r="AB3" s="66" t="s">
        <v>181</v>
      </c>
      <c r="AC3" s="11" t="s">
        <v>182</v>
      </c>
      <c r="AD3" s="11" t="s">
        <v>183</v>
      </c>
      <c r="AE3" s="10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7" t="s">
        <v>184</v>
      </c>
      <c r="AQ3" s="100">
        <v>0</v>
      </c>
    </row>
    <row r="4" spans="1:43" hidden="1">
      <c r="A4" s="103">
        <v>38751</v>
      </c>
      <c r="B4" s="47" t="s">
        <v>187</v>
      </c>
      <c r="C4" s="2" t="s">
        <v>188</v>
      </c>
      <c r="D4" s="16" t="s">
        <v>189</v>
      </c>
      <c r="E4" s="22" t="s">
        <v>190</v>
      </c>
      <c r="F4" s="4" t="s">
        <v>173</v>
      </c>
      <c r="G4" s="18">
        <v>38751</v>
      </c>
      <c r="H4" s="32">
        <v>10003157</v>
      </c>
      <c r="I4" s="32">
        <v>10003157</v>
      </c>
      <c r="J4" s="52">
        <f t="shared" si="0"/>
        <v>10003.156999999999</v>
      </c>
      <c r="K4" s="19" t="s">
        <v>174</v>
      </c>
      <c r="L4" s="20" t="s">
        <v>175</v>
      </c>
      <c r="M4" s="35" t="s">
        <v>56</v>
      </c>
      <c r="N4" s="7" t="s">
        <v>191</v>
      </c>
      <c r="O4" s="21">
        <v>0</v>
      </c>
      <c r="P4" s="21" t="s">
        <v>192</v>
      </c>
      <c r="Q4" s="8" t="s">
        <v>179</v>
      </c>
      <c r="R4" s="9">
        <v>13076020</v>
      </c>
      <c r="S4" s="54">
        <f t="shared" si="1"/>
        <v>13076.02</v>
      </c>
      <c r="T4" s="9">
        <v>11768420</v>
      </c>
      <c r="U4" s="54">
        <f t="shared" si="2"/>
        <v>11768.42</v>
      </c>
      <c r="V4" s="10">
        <f>T4/R4</f>
        <v>0.90000015295173919</v>
      </c>
      <c r="W4" s="11" t="s">
        <v>180</v>
      </c>
      <c r="X4" s="9">
        <v>-234668.35</v>
      </c>
      <c r="Y4" s="9">
        <f t="shared" si="3"/>
        <v>-234.66835</v>
      </c>
      <c r="Z4" s="10">
        <f>X4/T4</f>
        <v>-1.9940514529563018E-2</v>
      </c>
      <c r="AA4" s="11" t="s">
        <v>36</v>
      </c>
      <c r="AB4" s="66" t="s">
        <v>193</v>
      </c>
      <c r="AC4" s="11" t="str">
        <f t="shared" ref="AC4:AC12" si="4">B4</f>
        <v>EQUATORIAL</v>
      </c>
      <c r="AD4" s="11" t="s">
        <v>183</v>
      </c>
      <c r="AE4" s="10">
        <f>Z4</f>
        <v>-1.9940514529563018E-2</v>
      </c>
      <c r="AF4" s="9">
        <f>X4</f>
        <v>-234668.35</v>
      </c>
      <c r="AG4" s="9">
        <f>AF4/1000</f>
        <v>-234.66835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7" t="s">
        <v>184</v>
      </c>
      <c r="AQ4" s="100">
        <v>0</v>
      </c>
    </row>
    <row r="5" spans="1:43" hidden="1">
      <c r="A5" s="103">
        <v>38762</v>
      </c>
      <c r="B5" s="47" t="s">
        <v>187</v>
      </c>
      <c r="C5" s="2" t="s">
        <v>194</v>
      </c>
      <c r="D5" s="16" t="s">
        <v>195</v>
      </c>
      <c r="E5" s="22" t="s">
        <v>186</v>
      </c>
      <c r="F5" s="4" t="s">
        <v>173</v>
      </c>
      <c r="G5" s="18">
        <v>38749</v>
      </c>
      <c r="H5" s="32">
        <v>315238</v>
      </c>
      <c r="I5" s="32">
        <v>315238</v>
      </c>
      <c r="J5" s="52">
        <f t="shared" si="0"/>
        <v>315.238</v>
      </c>
      <c r="K5" s="19" t="s">
        <v>174</v>
      </c>
      <c r="L5" s="20" t="s">
        <v>175</v>
      </c>
      <c r="M5" s="35" t="s">
        <v>57</v>
      </c>
      <c r="N5" s="7" t="s">
        <v>191</v>
      </c>
      <c r="O5" s="21" t="s">
        <v>196</v>
      </c>
      <c r="P5" s="21" t="s">
        <v>197</v>
      </c>
      <c r="Q5" s="8" t="s">
        <v>179</v>
      </c>
      <c r="R5" s="9">
        <v>3708680</v>
      </c>
      <c r="S5" s="54">
        <f t="shared" si="1"/>
        <v>3708.68</v>
      </c>
      <c r="T5" s="9">
        <v>3152380</v>
      </c>
      <c r="U5" s="54">
        <f t="shared" si="2"/>
        <v>3152.38</v>
      </c>
      <c r="V5" s="10">
        <f>T5/R5</f>
        <v>0.85000053927542951</v>
      </c>
      <c r="W5" s="11" t="s">
        <v>180</v>
      </c>
      <c r="X5" s="9">
        <v>-1222411.9300000002</v>
      </c>
      <c r="Y5" s="9">
        <f t="shared" si="3"/>
        <v>-1222.4119300000002</v>
      </c>
      <c r="Z5" s="10">
        <f>X5/T5</f>
        <v>-0.38777429434268718</v>
      </c>
      <c r="AA5" s="11" t="s">
        <v>36</v>
      </c>
      <c r="AB5" s="66" t="s">
        <v>193</v>
      </c>
      <c r="AC5" s="11" t="str">
        <f t="shared" si="4"/>
        <v>EQUATORIAL</v>
      </c>
      <c r="AD5" s="11" t="s">
        <v>183</v>
      </c>
      <c r="AE5" s="10">
        <f>Z5</f>
        <v>-0.38777429434268718</v>
      </c>
      <c r="AF5" s="9">
        <f>X5</f>
        <v>-1222411.9300000002</v>
      </c>
      <c r="AG5" s="9">
        <f>AF5/1000</f>
        <v>-1222.4119300000002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7" t="s">
        <v>184</v>
      </c>
      <c r="AQ5" s="100">
        <v>0</v>
      </c>
    </row>
    <row r="6" spans="1:43" hidden="1">
      <c r="A6" s="103">
        <v>43709</v>
      </c>
      <c r="B6" s="47" t="s">
        <v>198</v>
      </c>
      <c r="C6" s="2" t="s">
        <v>199</v>
      </c>
      <c r="D6" s="2" t="s">
        <v>200</v>
      </c>
      <c r="E6" s="3" t="s">
        <v>201</v>
      </c>
      <c r="F6" s="4" t="s">
        <v>173</v>
      </c>
      <c r="G6" s="5">
        <v>43709</v>
      </c>
      <c r="H6" s="31">
        <v>81461757.969999999</v>
      </c>
      <c r="I6" s="31">
        <v>81461757.969999999</v>
      </c>
      <c r="J6" s="52">
        <f t="shared" si="0"/>
        <v>81461.757970000006</v>
      </c>
      <c r="K6" s="6" t="s">
        <v>174</v>
      </c>
      <c r="L6" s="7" t="s">
        <v>175</v>
      </c>
      <c r="M6" s="34" t="s">
        <v>58</v>
      </c>
      <c r="N6" s="7" t="s">
        <v>202</v>
      </c>
      <c r="O6" s="7" t="s">
        <v>177</v>
      </c>
      <c r="P6" s="7" t="s">
        <v>203</v>
      </c>
      <c r="Q6" s="8" t="s">
        <v>179</v>
      </c>
      <c r="R6" s="9">
        <v>98298280</v>
      </c>
      <c r="S6" s="54">
        <f t="shared" si="1"/>
        <v>98298.28</v>
      </c>
      <c r="T6" s="9">
        <v>88468460</v>
      </c>
      <c r="U6" s="54">
        <f t="shared" si="2"/>
        <v>88468.46</v>
      </c>
      <c r="V6" s="10">
        <v>0.90000008138494392</v>
      </c>
      <c r="W6" s="11" t="s">
        <v>180</v>
      </c>
      <c r="X6" s="9">
        <v>0</v>
      </c>
      <c r="Y6" s="9">
        <f t="shared" si="3"/>
        <v>0</v>
      </c>
      <c r="Z6" s="11">
        <v>0</v>
      </c>
      <c r="AA6" s="11" t="s">
        <v>36</v>
      </c>
      <c r="AB6" s="66" t="s">
        <v>204</v>
      </c>
      <c r="AC6" s="11" t="str">
        <f t="shared" si="4"/>
        <v>ENERGISA</v>
      </c>
      <c r="AD6" s="11" t="s">
        <v>183</v>
      </c>
      <c r="AE6" s="10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7" t="s">
        <v>184</v>
      </c>
      <c r="AQ6" s="100">
        <v>0</v>
      </c>
    </row>
    <row r="7" spans="1:43" hidden="1">
      <c r="A7" s="103">
        <v>40050</v>
      </c>
      <c r="B7" s="47" t="s">
        <v>187</v>
      </c>
      <c r="C7" s="2" t="s">
        <v>188</v>
      </c>
      <c r="D7" s="16" t="s">
        <v>189</v>
      </c>
      <c r="E7" s="22" t="s">
        <v>190</v>
      </c>
      <c r="F7" s="17" t="s">
        <v>173</v>
      </c>
      <c r="G7" s="18">
        <v>40050</v>
      </c>
      <c r="H7" s="32">
        <v>66043550</v>
      </c>
      <c r="I7" s="32">
        <v>66043550</v>
      </c>
      <c r="J7" s="52">
        <f t="shared" si="0"/>
        <v>66043.55</v>
      </c>
      <c r="K7" s="23">
        <v>40050</v>
      </c>
      <c r="L7" s="20" t="s">
        <v>175</v>
      </c>
      <c r="M7" s="35" t="s">
        <v>59</v>
      </c>
      <c r="N7" s="7" t="s">
        <v>176</v>
      </c>
      <c r="O7" s="21">
        <v>0</v>
      </c>
      <c r="P7" s="21" t="s">
        <v>192</v>
      </c>
      <c r="Q7" s="8" t="s">
        <v>179</v>
      </c>
      <c r="R7" s="9">
        <v>146763050</v>
      </c>
      <c r="S7" s="54">
        <f t="shared" si="1"/>
        <v>146763.04999999999</v>
      </c>
      <c r="T7" s="9">
        <v>132086740</v>
      </c>
      <c r="U7" s="54">
        <f t="shared" si="2"/>
        <v>132086.74</v>
      </c>
      <c r="V7" s="10">
        <f>T7/R7</f>
        <v>0.89999996593147935</v>
      </c>
      <c r="W7" s="11" t="s">
        <v>180</v>
      </c>
      <c r="X7" s="9">
        <v>-39420193</v>
      </c>
      <c r="Y7" s="9">
        <f t="shared" si="3"/>
        <v>-39420.192999999999</v>
      </c>
      <c r="Z7" s="10">
        <f>X7/T7</f>
        <v>-0.29844171337713382</v>
      </c>
      <c r="AA7" s="11" t="s">
        <v>36</v>
      </c>
      <c r="AB7" s="66" t="s">
        <v>181</v>
      </c>
      <c r="AC7" s="11" t="str">
        <f t="shared" si="4"/>
        <v>EQUATORIAL</v>
      </c>
      <c r="AD7" s="11" t="s">
        <v>183</v>
      </c>
      <c r="AE7" s="10">
        <f>Z7</f>
        <v>-0.29844171337713382</v>
      </c>
      <c r="AF7" s="9">
        <f>X7</f>
        <v>-39420193</v>
      </c>
      <c r="AG7" s="9">
        <f>AF7/1000</f>
        <v>-39420.192999999999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7" t="s">
        <v>184</v>
      </c>
      <c r="AQ7" s="100">
        <v>0</v>
      </c>
    </row>
    <row r="8" spans="1:43" hidden="1">
      <c r="A8" s="103">
        <v>40186</v>
      </c>
      <c r="B8" s="45" t="s">
        <v>198</v>
      </c>
      <c r="C8" s="2" t="s">
        <v>205</v>
      </c>
      <c r="D8" s="16" t="s">
        <v>206</v>
      </c>
      <c r="E8" s="22" t="s">
        <v>207</v>
      </c>
      <c r="F8" s="17" t="s">
        <v>173</v>
      </c>
      <c r="G8" s="18">
        <v>40186</v>
      </c>
      <c r="H8" s="32">
        <v>92815668</v>
      </c>
      <c r="I8" s="32">
        <v>92815668</v>
      </c>
      <c r="J8" s="52">
        <f t="shared" si="0"/>
        <v>92815.668000000005</v>
      </c>
      <c r="K8" s="23">
        <v>40186</v>
      </c>
      <c r="L8" s="20" t="s">
        <v>175</v>
      </c>
      <c r="M8" s="35" t="s">
        <v>60</v>
      </c>
      <c r="N8" s="7" t="s">
        <v>208</v>
      </c>
      <c r="O8" s="21">
        <v>0</v>
      </c>
      <c r="P8" s="21" t="s">
        <v>209</v>
      </c>
      <c r="Q8" s="8" t="s">
        <v>179</v>
      </c>
      <c r="R8" s="9">
        <v>121327570</v>
      </c>
      <c r="S8" s="54">
        <f t="shared" si="1"/>
        <v>121327.57</v>
      </c>
      <c r="T8" s="9">
        <v>103128440</v>
      </c>
      <c r="U8" s="54">
        <f t="shared" si="2"/>
        <v>103128.44</v>
      </c>
      <c r="V8" s="10">
        <f>T8/R8</f>
        <v>0.85000004533182361</v>
      </c>
      <c r="W8" s="11" t="s">
        <v>180</v>
      </c>
      <c r="X8" s="9">
        <v>-4355398.1900000004</v>
      </c>
      <c r="Y8" s="9">
        <f t="shared" si="3"/>
        <v>-4355.3981900000008</v>
      </c>
      <c r="Z8" s="10">
        <f>X8/T8</f>
        <v>-4.2232755484326152E-2</v>
      </c>
      <c r="AA8" s="11" t="s">
        <v>36</v>
      </c>
      <c r="AB8" s="66" t="s">
        <v>210</v>
      </c>
      <c r="AC8" s="11" t="str">
        <f t="shared" si="4"/>
        <v>ENERGISA</v>
      </c>
      <c r="AD8" s="11" t="s">
        <v>183</v>
      </c>
      <c r="AE8" s="10">
        <f>Z8</f>
        <v>-4.2232755484326152E-2</v>
      </c>
      <c r="AF8" s="9">
        <f>X8</f>
        <v>-4355398.1900000004</v>
      </c>
      <c r="AG8" s="9">
        <f>AF8/1000</f>
        <v>-4355.3981900000008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7" t="s">
        <v>184</v>
      </c>
      <c r="AQ8" s="100">
        <v>0</v>
      </c>
    </row>
    <row r="9" spans="1:43" hidden="1">
      <c r="A9" s="103">
        <v>40203</v>
      </c>
      <c r="B9" s="45" t="s">
        <v>198</v>
      </c>
      <c r="C9" s="2" t="s">
        <v>199</v>
      </c>
      <c r="D9" s="16" t="s">
        <v>200</v>
      </c>
      <c r="E9" s="22" t="s">
        <v>201</v>
      </c>
      <c r="F9" s="4" t="s">
        <v>173</v>
      </c>
      <c r="G9" s="18">
        <v>40203</v>
      </c>
      <c r="H9" s="32">
        <v>33126822</v>
      </c>
      <c r="I9" s="32">
        <v>33126822</v>
      </c>
      <c r="J9" s="52">
        <f t="shared" si="0"/>
        <v>33126.822</v>
      </c>
      <c r="K9" s="19" t="s">
        <v>174</v>
      </c>
      <c r="L9" s="20" t="s">
        <v>175</v>
      </c>
      <c r="M9" s="35" t="s">
        <v>61</v>
      </c>
      <c r="N9" s="7" t="s">
        <v>208</v>
      </c>
      <c r="O9" s="21">
        <v>0</v>
      </c>
      <c r="P9" s="21" t="s">
        <v>203</v>
      </c>
      <c r="Q9" s="8" t="s">
        <v>179</v>
      </c>
      <c r="R9" s="9">
        <v>40897300</v>
      </c>
      <c r="S9" s="54">
        <f t="shared" si="1"/>
        <v>40897.300000000003</v>
      </c>
      <c r="T9" s="9">
        <v>36807580</v>
      </c>
      <c r="U9" s="54">
        <f t="shared" si="2"/>
        <v>36807.58</v>
      </c>
      <c r="V9" s="10">
        <f>T9/R9</f>
        <v>0.90000024451491911</v>
      </c>
      <c r="W9" s="11" t="s">
        <v>180</v>
      </c>
      <c r="X9" s="9">
        <v>-4999746.72</v>
      </c>
      <c r="Y9" s="9">
        <f t="shared" si="3"/>
        <v>-4999.7467200000001</v>
      </c>
      <c r="Z9" s="10">
        <f>X9/T9</f>
        <v>-0.13583470361267977</v>
      </c>
      <c r="AA9" s="11" t="s">
        <v>36</v>
      </c>
      <c r="AB9" s="66" t="s">
        <v>210</v>
      </c>
      <c r="AC9" s="11" t="str">
        <f t="shared" si="4"/>
        <v>ENERGISA</v>
      </c>
      <c r="AD9" s="11" t="s">
        <v>183</v>
      </c>
      <c r="AE9" s="10">
        <f>Z9</f>
        <v>-0.13583470361267977</v>
      </c>
      <c r="AF9" s="9">
        <f>X9</f>
        <v>-4999746.72</v>
      </c>
      <c r="AG9" s="9">
        <f>AF9/1000</f>
        <v>-4999.7467200000001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7" t="s">
        <v>184</v>
      </c>
      <c r="AQ9" s="100">
        <v>0</v>
      </c>
    </row>
    <row r="10" spans="1:43" hidden="1">
      <c r="A10" s="103">
        <v>40179</v>
      </c>
      <c r="B10" s="47" t="s">
        <v>187</v>
      </c>
      <c r="C10" s="2" t="s">
        <v>211</v>
      </c>
      <c r="D10" s="2" t="s">
        <v>212</v>
      </c>
      <c r="E10" s="4" t="s">
        <v>213</v>
      </c>
      <c r="F10" s="17" t="s">
        <v>173</v>
      </c>
      <c r="G10" s="18">
        <v>40238</v>
      </c>
      <c r="H10" s="32">
        <v>328448493</v>
      </c>
      <c r="I10" s="32">
        <v>328448493</v>
      </c>
      <c r="J10" s="52">
        <f t="shared" si="0"/>
        <v>328448.49300000002</v>
      </c>
      <c r="K10" s="23">
        <v>40246</v>
      </c>
      <c r="L10" s="20" t="s">
        <v>175</v>
      </c>
      <c r="M10" s="35" t="s">
        <v>62</v>
      </c>
      <c r="N10" s="7" t="s">
        <v>208</v>
      </c>
      <c r="O10" s="21">
        <v>0</v>
      </c>
      <c r="P10" s="21" t="s">
        <v>214</v>
      </c>
      <c r="Q10" s="8" t="s">
        <v>179</v>
      </c>
      <c r="R10" s="9">
        <v>429344380</v>
      </c>
      <c r="S10" s="54">
        <f t="shared" si="1"/>
        <v>429344.38</v>
      </c>
      <c r="T10" s="9">
        <v>364942720</v>
      </c>
      <c r="U10" s="54">
        <f t="shared" si="2"/>
        <v>364942.72</v>
      </c>
      <c r="V10" s="10">
        <f>T10/R10</f>
        <v>0.8499999930126021</v>
      </c>
      <c r="W10" s="11" t="s">
        <v>180</v>
      </c>
      <c r="X10" s="9">
        <f>SUMIF(Devolução!M:M,Liberações!M333,Devolução!I:I)</f>
        <v>0</v>
      </c>
      <c r="Y10" s="9">
        <f t="shared" si="3"/>
        <v>0</v>
      </c>
      <c r="Z10" s="10">
        <f>X10/T10</f>
        <v>0</v>
      </c>
      <c r="AA10" s="11" t="s">
        <v>36</v>
      </c>
      <c r="AB10" s="66" t="s">
        <v>210</v>
      </c>
      <c r="AC10" s="11" t="str">
        <f t="shared" si="4"/>
        <v>EQUATORIAL</v>
      </c>
      <c r="AD10" s="11" t="s">
        <v>183</v>
      </c>
      <c r="AE10" s="10">
        <f>Z10</f>
        <v>0</v>
      </c>
      <c r="AF10" s="9">
        <f>X10</f>
        <v>0</v>
      </c>
      <c r="AG10" s="9">
        <f>AF10/1000</f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7" t="s">
        <v>184</v>
      </c>
      <c r="AQ10" s="100">
        <v>0</v>
      </c>
    </row>
    <row r="11" spans="1:43" hidden="1">
      <c r="A11" s="103">
        <v>43739</v>
      </c>
      <c r="B11" s="47" t="s">
        <v>198</v>
      </c>
      <c r="C11" s="2" t="s">
        <v>215</v>
      </c>
      <c r="D11" s="2" t="s">
        <v>216</v>
      </c>
      <c r="E11" s="3" t="s">
        <v>186</v>
      </c>
      <c r="F11" s="4" t="s">
        <v>173</v>
      </c>
      <c r="G11" s="5">
        <v>43739</v>
      </c>
      <c r="H11" s="31">
        <v>245899516.78999999</v>
      </c>
      <c r="I11" s="31">
        <v>245899516.78999999</v>
      </c>
      <c r="J11" s="52">
        <f t="shared" si="0"/>
        <v>245899.51678999999</v>
      </c>
      <c r="K11" s="6" t="s">
        <v>174</v>
      </c>
      <c r="L11" s="7" t="s">
        <v>175</v>
      </c>
      <c r="M11" s="34" t="s">
        <v>63</v>
      </c>
      <c r="N11" s="7" t="s">
        <v>208</v>
      </c>
      <c r="O11" s="7" t="s">
        <v>177</v>
      </c>
      <c r="P11" s="7" t="s">
        <v>217</v>
      </c>
      <c r="Q11" s="8" t="s">
        <v>179</v>
      </c>
      <c r="R11" s="9">
        <v>315625180</v>
      </c>
      <c r="S11" s="54">
        <f t="shared" si="1"/>
        <v>315625.18</v>
      </c>
      <c r="T11" s="9">
        <v>268281400</v>
      </c>
      <c r="U11" s="54">
        <f t="shared" si="2"/>
        <v>268281.40000000002</v>
      </c>
      <c r="V11" s="10">
        <v>0.84999999049505492</v>
      </c>
      <c r="W11" s="11" t="s">
        <v>180</v>
      </c>
      <c r="X11" s="9">
        <v>0</v>
      </c>
      <c r="Y11" s="9">
        <f t="shared" si="3"/>
        <v>0</v>
      </c>
      <c r="Z11" s="11">
        <v>0</v>
      </c>
      <c r="AA11" s="11" t="s">
        <v>36</v>
      </c>
      <c r="AB11" s="66" t="s">
        <v>210</v>
      </c>
      <c r="AC11" s="11" t="str">
        <f t="shared" si="4"/>
        <v>ENERGISA</v>
      </c>
      <c r="AD11" s="11" t="s">
        <v>183</v>
      </c>
      <c r="AE11" s="10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7" t="s">
        <v>184</v>
      </c>
      <c r="AQ11" s="100">
        <v>0</v>
      </c>
    </row>
    <row r="12" spans="1:43" hidden="1">
      <c r="A12" s="103">
        <v>43252</v>
      </c>
      <c r="B12" s="47" t="s">
        <v>187</v>
      </c>
      <c r="C12" s="2" t="s">
        <v>194</v>
      </c>
      <c r="D12" s="2" t="s">
        <v>218</v>
      </c>
      <c r="E12" s="3" t="s">
        <v>219</v>
      </c>
      <c r="F12" s="4" t="s">
        <v>173</v>
      </c>
      <c r="G12" s="5">
        <v>43252</v>
      </c>
      <c r="H12" s="31">
        <v>8376976.2800000003</v>
      </c>
      <c r="I12" s="31">
        <v>8376976.2800000003</v>
      </c>
      <c r="J12" s="52">
        <f t="shared" si="0"/>
        <v>8376.9762800000008</v>
      </c>
      <c r="K12" s="6" t="s">
        <v>174</v>
      </c>
      <c r="L12" s="7" t="s">
        <v>175</v>
      </c>
      <c r="M12" s="34" t="s">
        <v>64</v>
      </c>
      <c r="N12" s="7" t="s">
        <v>220</v>
      </c>
      <c r="O12" s="7" t="s">
        <v>177</v>
      </c>
      <c r="P12" s="7" t="s">
        <v>197</v>
      </c>
      <c r="Q12" s="8" t="s">
        <v>179</v>
      </c>
      <c r="R12" s="9">
        <v>19624900</v>
      </c>
      <c r="S12" s="54">
        <f t="shared" si="1"/>
        <v>19624.900000000001</v>
      </c>
      <c r="T12" s="9">
        <v>16681170</v>
      </c>
      <c r="U12" s="54">
        <f t="shared" si="2"/>
        <v>16681.169999999998</v>
      </c>
      <c r="V12" s="10">
        <v>0.85000025477836827</v>
      </c>
      <c r="W12" s="11" t="s">
        <v>180</v>
      </c>
      <c r="X12" s="9">
        <v>0</v>
      </c>
      <c r="Y12" s="9">
        <f t="shared" si="3"/>
        <v>0</v>
      </c>
      <c r="Z12" s="11">
        <v>0</v>
      </c>
      <c r="AA12" s="11" t="s">
        <v>36</v>
      </c>
      <c r="AB12" s="66" t="s">
        <v>221</v>
      </c>
      <c r="AC12" s="11" t="str">
        <f t="shared" si="4"/>
        <v>EQUATORIAL</v>
      </c>
      <c r="AD12" s="11" t="s">
        <v>183</v>
      </c>
      <c r="AE12" s="10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7" t="s">
        <v>184</v>
      </c>
      <c r="AQ12" s="100">
        <v>0</v>
      </c>
    </row>
    <row r="13" spans="1:43" hidden="1">
      <c r="A13" s="103">
        <v>40391</v>
      </c>
      <c r="B13" s="45" t="s">
        <v>222</v>
      </c>
      <c r="C13" s="13" t="s">
        <v>222</v>
      </c>
      <c r="D13" s="16" t="s">
        <v>223</v>
      </c>
      <c r="E13" s="22" t="s">
        <v>224</v>
      </c>
      <c r="F13" s="4" t="s">
        <v>173</v>
      </c>
      <c r="G13" s="18">
        <v>40391</v>
      </c>
      <c r="H13" s="32">
        <v>823357</v>
      </c>
      <c r="I13" s="32">
        <v>823357</v>
      </c>
      <c r="J13" s="52">
        <f t="shared" si="0"/>
        <v>823.35699999999997</v>
      </c>
      <c r="K13" s="19" t="s">
        <v>174</v>
      </c>
      <c r="L13" s="20" t="s">
        <v>175</v>
      </c>
      <c r="M13" s="35" t="s">
        <v>65</v>
      </c>
      <c r="N13" s="7" t="s">
        <v>176</v>
      </c>
      <c r="O13" s="21">
        <v>0</v>
      </c>
      <c r="P13" s="21" t="s">
        <v>225</v>
      </c>
      <c r="Q13" s="8" t="s">
        <v>179</v>
      </c>
      <c r="R13" s="9">
        <v>1784360</v>
      </c>
      <c r="S13" s="54">
        <f t="shared" si="1"/>
        <v>1784.36</v>
      </c>
      <c r="T13" s="9">
        <v>1516710</v>
      </c>
      <c r="U13" s="54">
        <f t="shared" si="2"/>
        <v>1516.71</v>
      </c>
      <c r="V13" s="10">
        <f>T13/R13</f>
        <v>0.85000224170010541</v>
      </c>
      <c r="W13" s="11" t="s">
        <v>180</v>
      </c>
      <c r="X13" s="9">
        <v>-79816.069999999992</v>
      </c>
      <c r="Y13" s="9">
        <f t="shared" si="3"/>
        <v>-79.816069999999996</v>
      </c>
      <c r="Z13" s="10">
        <f>X13/T13</f>
        <v>-5.2624476663304123E-2</v>
      </c>
      <c r="AA13" s="11" t="s">
        <v>36</v>
      </c>
      <c r="AB13" s="66" t="s">
        <v>181</v>
      </c>
      <c r="AC13" s="11" t="s">
        <v>182</v>
      </c>
      <c r="AD13" s="11" t="s">
        <v>183</v>
      </c>
      <c r="AE13" s="10">
        <f>Z13</f>
        <v>-5.2624476663304123E-2</v>
      </c>
      <c r="AF13" s="9">
        <f>X13</f>
        <v>-79816.069999999992</v>
      </c>
      <c r="AG13" s="9">
        <f>AF13/1000</f>
        <v>-79.816069999999996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7" t="s">
        <v>184</v>
      </c>
      <c r="AQ13" s="100">
        <v>0</v>
      </c>
    </row>
    <row r="14" spans="1:43" hidden="1">
      <c r="A14" s="103">
        <v>43221</v>
      </c>
      <c r="B14" s="47" t="s">
        <v>226</v>
      </c>
      <c r="C14" s="2" t="s">
        <v>227</v>
      </c>
      <c r="D14" s="2" t="s">
        <v>228</v>
      </c>
      <c r="E14" s="3" t="s">
        <v>186</v>
      </c>
      <c r="F14" s="4" t="s">
        <v>173</v>
      </c>
      <c r="G14" s="5">
        <v>43221</v>
      </c>
      <c r="H14" s="31">
        <v>616.46</v>
      </c>
      <c r="I14" s="31">
        <v>616.46</v>
      </c>
      <c r="J14" s="52">
        <f t="shared" si="0"/>
        <v>0.61646000000000001</v>
      </c>
      <c r="K14" s="6" t="s">
        <v>174</v>
      </c>
      <c r="L14" s="7" t="s">
        <v>175</v>
      </c>
      <c r="M14" s="34" t="s">
        <v>66</v>
      </c>
      <c r="N14" s="7" t="s">
        <v>229</v>
      </c>
      <c r="O14" s="7" t="s">
        <v>177</v>
      </c>
      <c r="P14" s="7" t="s">
        <v>178</v>
      </c>
      <c r="Q14" s="8" t="s">
        <v>179</v>
      </c>
      <c r="R14" s="9">
        <v>21392010</v>
      </c>
      <c r="S14" s="54">
        <f t="shared" si="1"/>
        <v>21392.01</v>
      </c>
      <c r="T14" s="9">
        <v>18183210</v>
      </c>
      <c r="U14" s="54">
        <f t="shared" si="2"/>
        <v>18183.21</v>
      </c>
      <c r="V14" s="10">
        <v>0.85000007011963807</v>
      </c>
      <c r="W14" s="11" t="s">
        <v>180</v>
      </c>
      <c r="X14" s="9">
        <v>0</v>
      </c>
      <c r="Y14" s="9">
        <f t="shared" si="3"/>
        <v>0</v>
      </c>
      <c r="Z14" s="11">
        <v>0</v>
      </c>
      <c r="AA14" s="11" t="s">
        <v>36</v>
      </c>
      <c r="AB14" s="66" t="s">
        <v>230</v>
      </c>
      <c r="AC14" s="11" t="str">
        <f>B14</f>
        <v xml:space="preserve">NEOENERGIA </v>
      </c>
      <c r="AD14" s="11" t="s">
        <v>183</v>
      </c>
      <c r="AE14" s="10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7" t="s">
        <v>184</v>
      </c>
      <c r="AQ14" s="100">
        <v>0</v>
      </c>
    </row>
    <row r="15" spans="1:43" hidden="1">
      <c r="A15" s="103">
        <v>43221</v>
      </c>
      <c r="B15" s="47" t="s">
        <v>226</v>
      </c>
      <c r="C15" s="2" t="s">
        <v>227</v>
      </c>
      <c r="D15" s="2" t="s">
        <v>231</v>
      </c>
      <c r="E15" s="4" t="s">
        <v>232</v>
      </c>
      <c r="F15" s="4" t="s">
        <v>173</v>
      </c>
      <c r="G15" s="5">
        <v>43221</v>
      </c>
      <c r="H15" s="31">
        <v>61029.45</v>
      </c>
      <c r="I15" s="31">
        <v>61029.45</v>
      </c>
      <c r="J15" s="52">
        <f t="shared" si="0"/>
        <v>61.029449999999997</v>
      </c>
      <c r="K15" s="6" t="s">
        <v>174</v>
      </c>
      <c r="L15" s="7" t="s">
        <v>175</v>
      </c>
      <c r="M15" s="34" t="s">
        <v>66</v>
      </c>
      <c r="N15" s="7" t="s">
        <v>229</v>
      </c>
      <c r="O15" s="7" t="s">
        <v>177</v>
      </c>
      <c r="P15" s="7" t="s">
        <v>178</v>
      </c>
      <c r="Q15" s="8" t="s">
        <v>179</v>
      </c>
      <c r="R15" s="9">
        <v>0</v>
      </c>
      <c r="S15" s="54">
        <f t="shared" si="1"/>
        <v>0</v>
      </c>
      <c r="T15" s="9">
        <v>0</v>
      </c>
      <c r="U15" s="54">
        <f t="shared" si="2"/>
        <v>0</v>
      </c>
      <c r="V15" s="11">
        <v>0</v>
      </c>
      <c r="W15" s="11" t="s">
        <v>180</v>
      </c>
      <c r="X15" s="9">
        <v>0</v>
      </c>
      <c r="Y15" s="9">
        <f t="shared" si="3"/>
        <v>0</v>
      </c>
      <c r="Z15" s="11">
        <v>0</v>
      </c>
      <c r="AA15" s="11" t="s">
        <v>36</v>
      </c>
      <c r="AB15" s="66" t="s">
        <v>230</v>
      </c>
      <c r="AC15" s="11" t="str">
        <f>B15</f>
        <v xml:space="preserve">NEOENERGIA </v>
      </c>
      <c r="AD15" s="11" t="s">
        <v>183</v>
      </c>
      <c r="AE15" s="10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7" t="s">
        <v>184</v>
      </c>
      <c r="AQ15" s="100">
        <v>0</v>
      </c>
    </row>
    <row r="16" spans="1:43" hidden="1">
      <c r="A16" s="103">
        <v>40513</v>
      </c>
      <c r="B16" s="45" t="s">
        <v>233</v>
      </c>
      <c r="C16" s="13" t="s">
        <v>234</v>
      </c>
      <c r="D16" s="16" t="s">
        <v>235</v>
      </c>
      <c r="E16" s="22" t="s">
        <v>236</v>
      </c>
      <c r="F16" s="17" t="s">
        <v>173</v>
      </c>
      <c r="G16" s="18">
        <v>40513</v>
      </c>
      <c r="H16" s="32">
        <v>80819578</v>
      </c>
      <c r="I16" s="32">
        <v>80819578</v>
      </c>
      <c r="J16" s="52">
        <f t="shared" si="0"/>
        <v>80819.577999999994</v>
      </c>
      <c r="K16" s="23">
        <v>40524</v>
      </c>
      <c r="L16" s="20" t="s">
        <v>175</v>
      </c>
      <c r="M16" s="35" t="s">
        <v>67</v>
      </c>
      <c r="N16" s="7" t="s">
        <v>237</v>
      </c>
      <c r="O16" s="21">
        <v>0</v>
      </c>
      <c r="P16" s="21" t="s">
        <v>238</v>
      </c>
      <c r="Q16" s="8" t="s">
        <v>179</v>
      </c>
      <c r="R16" s="9">
        <v>134627920</v>
      </c>
      <c r="S16" s="54">
        <f t="shared" si="1"/>
        <v>134627.92000000001</v>
      </c>
      <c r="T16" s="9">
        <v>114433740</v>
      </c>
      <c r="U16" s="54">
        <f t="shared" si="2"/>
        <v>114433.74</v>
      </c>
      <c r="V16" s="10">
        <v>0.85000005942303791</v>
      </c>
      <c r="W16" s="11" t="s">
        <v>180</v>
      </c>
      <c r="X16" s="58">
        <v>-23451347.099999998</v>
      </c>
      <c r="Y16" s="54">
        <f t="shared" si="3"/>
        <v>-23451.347099999999</v>
      </c>
      <c r="Z16" s="10">
        <f>X16/T16</f>
        <v>-0.20493385167696168</v>
      </c>
      <c r="AA16" s="11" t="s">
        <v>36</v>
      </c>
      <c r="AB16" s="66" t="s">
        <v>239</v>
      </c>
      <c r="AC16" s="11" t="s">
        <v>182</v>
      </c>
      <c r="AD16" s="11" t="s">
        <v>183</v>
      </c>
      <c r="AE16" s="10">
        <f>Z16</f>
        <v>-0.20493385167696168</v>
      </c>
      <c r="AF16" s="9">
        <f>X16</f>
        <v>-23451347.099999998</v>
      </c>
      <c r="AG16" s="9">
        <f>AF16/1000</f>
        <v>-23451.347099999999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7" t="s">
        <v>184</v>
      </c>
      <c r="AQ16" s="100">
        <v>0</v>
      </c>
    </row>
    <row r="17" spans="1:43" hidden="1">
      <c r="A17" s="103">
        <v>41064</v>
      </c>
      <c r="B17" s="45" t="s">
        <v>187</v>
      </c>
      <c r="C17" s="13" t="s">
        <v>240</v>
      </c>
      <c r="D17" s="16" t="s">
        <v>241</v>
      </c>
      <c r="E17" s="17" t="s">
        <v>242</v>
      </c>
      <c r="F17" s="4" t="s">
        <v>173</v>
      </c>
      <c r="G17" s="18">
        <v>41061</v>
      </c>
      <c r="H17" s="33">
        <v>19969578</v>
      </c>
      <c r="I17" s="33">
        <v>19969578</v>
      </c>
      <c r="J17" s="52">
        <f t="shared" si="0"/>
        <v>19969.578000000001</v>
      </c>
      <c r="K17" s="19" t="s">
        <v>174</v>
      </c>
      <c r="L17" s="20" t="s">
        <v>175</v>
      </c>
      <c r="M17" s="35" t="s">
        <v>68</v>
      </c>
      <c r="N17" s="7" t="s">
        <v>243</v>
      </c>
      <c r="O17" s="21">
        <v>0</v>
      </c>
      <c r="P17" s="7" t="s">
        <v>244</v>
      </c>
      <c r="Q17" s="8" t="s">
        <v>179</v>
      </c>
      <c r="R17" s="9">
        <v>25719470</v>
      </c>
      <c r="S17" s="54">
        <f t="shared" si="1"/>
        <v>25719.47</v>
      </c>
      <c r="T17" s="9">
        <v>21861550</v>
      </c>
      <c r="U17" s="54">
        <f t="shared" si="2"/>
        <v>21861.55</v>
      </c>
      <c r="V17" s="10">
        <f>T17/R17</f>
        <v>0.85000001944052506</v>
      </c>
      <c r="W17" s="11" t="s">
        <v>180</v>
      </c>
      <c r="X17" s="9">
        <v>-1941373.8399999999</v>
      </c>
      <c r="Y17" s="9">
        <f t="shared" si="3"/>
        <v>-1941.3738399999997</v>
      </c>
      <c r="Z17" s="10">
        <f>X17/T17</f>
        <v>-8.8803119632413982E-2</v>
      </c>
      <c r="AA17" s="11" t="s">
        <v>36</v>
      </c>
      <c r="AB17" s="66" t="s">
        <v>245</v>
      </c>
      <c r="AC17" s="11" t="str">
        <f>B17</f>
        <v>EQUATORIAL</v>
      </c>
      <c r="AD17" s="11" t="s">
        <v>183</v>
      </c>
      <c r="AE17" s="10">
        <f>Z17</f>
        <v>-8.8803119632413982E-2</v>
      </c>
      <c r="AF17" s="9">
        <f>X17</f>
        <v>-1941373.8399999999</v>
      </c>
      <c r="AG17" s="9">
        <f>AF17/1000</f>
        <v>-1941.3738399999997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7" t="s">
        <v>184</v>
      </c>
      <c r="AQ17" s="100">
        <v>0</v>
      </c>
    </row>
    <row r="18" spans="1:43" hidden="1">
      <c r="A18" s="103">
        <v>44593</v>
      </c>
      <c r="B18" s="47" t="s">
        <v>187</v>
      </c>
      <c r="C18" s="2" t="s">
        <v>211</v>
      </c>
      <c r="D18" s="2" t="s">
        <v>212</v>
      </c>
      <c r="E18" s="4" t="s">
        <v>213</v>
      </c>
      <c r="F18" s="4" t="s">
        <v>173</v>
      </c>
      <c r="G18" s="5">
        <v>44593</v>
      </c>
      <c r="H18" s="31">
        <v>194027135.03</v>
      </c>
      <c r="I18" s="31">
        <v>194027135.03</v>
      </c>
      <c r="J18" s="52">
        <f t="shared" si="0"/>
        <v>194027.13503</v>
      </c>
      <c r="K18" s="12">
        <v>44613</v>
      </c>
      <c r="L18" s="7" t="s">
        <v>246</v>
      </c>
      <c r="M18" s="34" t="s">
        <v>69</v>
      </c>
      <c r="N18" s="7" t="s">
        <v>191</v>
      </c>
      <c r="O18" s="7" t="s">
        <v>177</v>
      </c>
      <c r="P18" s="7" t="s">
        <v>214</v>
      </c>
      <c r="Q18" s="8" t="s">
        <v>179</v>
      </c>
      <c r="R18" s="9">
        <v>268823340</v>
      </c>
      <c r="S18" s="54">
        <f t="shared" si="1"/>
        <v>268823.34000000003</v>
      </c>
      <c r="T18" s="9">
        <v>201617510</v>
      </c>
      <c r="U18" s="54">
        <f t="shared" si="2"/>
        <v>201617.51</v>
      </c>
      <c r="V18" s="10">
        <v>0.75000001859957544</v>
      </c>
      <c r="W18" s="11" t="s">
        <v>180</v>
      </c>
      <c r="X18" s="9">
        <v>0</v>
      </c>
      <c r="Y18" s="9">
        <f t="shared" si="3"/>
        <v>0</v>
      </c>
      <c r="Z18" s="11">
        <v>0</v>
      </c>
      <c r="AA18" s="11" t="s">
        <v>36</v>
      </c>
      <c r="AB18" s="66" t="s">
        <v>193</v>
      </c>
      <c r="AC18" s="11" t="str">
        <f>B18</f>
        <v>EQUATORIAL</v>
      </c>
      <c r="AD18" s="11" t="s">
        <v>183</v>
      </c>
      <c r="AE18" s="10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7" t="s">
        <v>184</v>
      </c>
      <c r="AQ18" s="100">
        <v>0</v>
      </c>
    </row>
    <row r="19" spans="1:43" hidden="1">
      <c r="A19" s="103">
        <v>41518</v>
      </c>
      <c r="B19" s="45" t="s">
        <v>233</v>
      </c>
      <c r="C19" s="13" t="s">
        <v>247</v>
      </c>
      <c r="D19" s="16" t="s">
        <v>248</v>
      </c>
      <c r="E19" s="22" t="s">
        <v>249</v>
      </c>
      <c r="F19" s="4" t="s">
        <v>173</v>
      </c>
      <c r="G19" s="18">
        <v>41518</v>
      </c>
      <c r="H19" s="32">
        <v>5285112</v>
      </c>
      <c r="I19" s="32">
        <v>5285112</v>
      </c>
      <c r="J19" s="52">
        <f t="shared" si="0"/>
        <v>5285.1120000000001</v>
      </c>
      <c r="K19" s="19" t="s">
        <v>174</v>
      </c>
      <c r="L19" s="20" t="s">
        <v>175</v>
      </c>
      <c r="M19" s="35" t="s">
        <v>70</v>
      </c>
      <c r="N19" s="7" t="s">
        <v>208</v>
      </c>
      <c r="O19" s="21">
        <v>0</v>
      </c>
      <c r="P19" s="21" t="s">
        <v>225</v>
      </c>
      <c r="Q19" s="8" t="s">
        <v>179</v>
      </c>
      <c r="R19" s="9">
        <v>25167200</v>
      </c>
      <c r="S19" s="54">
        <f t="shared" si="1"/>
        <v>25167.200000000001</v>
      </c>
      <c r="T19" s="9">
        <v>7550160</v>
      </c>
      <c r="U19" s="54">
        <f t="shared" si="2"/>
        <v>7550.16</v>
      </c>
      <c r="V19" s="10">
        <v>0.3</v>
      </c>
      <c r="W19" s="11" t="s">
        <v>180</v>
      </c>
      <c r="X19" s="58">
        <v>-1488962</v>
      </c>
      <c r="Y19" s="54">
        <f t="shared" si="3"/>
        <v>-1488.962</v>
      </c>
      <c r="Z19" s="10">
        <f>X19/T19</f>
        <v>-0.19720933066319124</v>
      </c>
      <c r="AA19" s="11" t="s">
        <v>36</v>
      </c>
      <c r="AB19" s="66" t="s">
        <v>210</v>
      </c>
      <c r="AC19" s="11" t="s">
        <v>182</v>
      </c>
      <c r="AD19" s="11" t="s">
        <v>183</v>
      </c>
      <c r="AE19" s="10">
        <f>Z19</f>
        <v>-0.19720933066319124</v>
      </c>
      <c r="AF19" s="9">
        <f>X19</f>
        <v>-1488962</v>
      </c>
      <c r="AG19" s="9">
        <f>AF19/1000</f>
        <v>-1488.962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7" t="s">
        <v>184</v>
      </c>
      <c r="AQ19" s="100">
        <v>0</v>
      </c>
    </row>
    <row r="20" spans="1:43" hidden="1">
      <c r="A20" s="103">
        <v>41451</v>
      </c>
      <c r="B20" s="45" t="s">
        <v>226</v>
      </c>
      <c r="C20" s="45" t="s">
        <v>226</v>
      </c>
      <c r="D20" s="16" t="s">
        <v>250</v>
      </c>
      <c r="E20" s="22" t="s">
        <v>232</v>
      </c>
      <c r="F20" s="4" t="s">
        <v>173</v>
      </c>
      <c r="G20" s="18">
        <v>41451</v>
      </c>
      <c r="H20" s="33">
        <v>757099</v>
      </c>
      <c r="I20" s="33">
        <v>757099</v>
      </c>
      <c r="J20" s="52">
        <f t="shared" si="0"/>
        <v>757.09900000000005</v>
      </c>
      <c r="K20" s="19" t="s">
        <v>174</v>
      </c>
      <c r="L20" s="20" t="s">
        <v>175</v>
      </c>
      <c r="M20" s="35" t="s">
        <v>71</v>
      </c>
      <c r="N20" s="7" t="s">
        <v>220</v>
      </c>
      <c r="O20" s="21">
        <v>0</v>
      </c>
      <c r="P20" s="21" t="s">
        <v>251</v>
      </c>
      <c r="Q20" s="8" t="s">
        <v>179</v>
      </c>
      <c r="R20" s="9">
        <v>3610060</v>
      </c>
      <c r="S20" s="54">
        <f t="shared" si="1"/>
        <v>3610.06</v>
      </c>
      <c r="T20" s="9">
        <v>1081570</v>
      </c>
      <c r="U20" s="54">
        <f t="shared" si="2"/>
        <v>1081.57</v>
      </c>
      <c r="V20" s="10">
        <f>T20/R20</f>
        <v>0.29959889863326372</v>
      </c>
      <c r="W20" s="11" t="s">
        <v>180</v>
      </c>
      <c r="X20" s="9">
        <v>-114513.5</v>
      </c>
      <c r="Y20" s="9">
        <f t="shared" si="3"/>
        <v>-114.51349999999999</v>
      </c>
      <c r="Z20" s="10">
        <f>X20/T20</f>
        <v>-0.10587710457945394</v>
      </c>
      <c r="AA20" s="11" t="s">
        <v>36</v>
      </c>
      <c r="AB20" s="66" t="s">
        <v>221</v>
      </c>
      <c r="AC20" s="11" t="str">
        <f>B20</f>
        <v xml:space="preserve">NEOENERGIA </v>
      </c>
      <c r="AD20" s="11" t="s">
        <v>183</v>
      </c>
      <c r="AE20" s="10">
        <f>Z20</f>
        <v>-0.10587710457945394</v>
      </c>
      <c r="AF20" s="9">
        <f>X20</f>
        <v>-114513.5</v>
      </c>
      <c r="AG20" s="9">
        <f>AF20/1000</f>
        <v>-114.51349999999999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7" t="s">
        <v>184</v>
      </c>
      <c r="AQ20" s="100">
        <v>0</v>
      </c>
    </row>
    <row r="21" spans="1:43" hidden="1">
      <c r="A21" s="103">
        <v>41451</v>
      </c>
      <c r="B21" s="45" t="s">
        <v>226</v>
      </c>
      <c r="C21" s="2" t="s">
        <v>227</v>
      </c>
      <c r="D21" s="16" t="s">
        <v>250</v>
      </c>
      <c r="E21" s="22" t="s">
        <v>232</v>
      </c>
      <c r="F21" s="4" t="s">
        <v>173</v>
      </c>
      <c r="G21" s="18">
        <v>41451</v>
      </c>
      <c r="H21" s="32">
        <v>1888635</v>
      </c>
      <c r="I21" s="32">
        <v>1888635</v>
      </c>
      <c r="J21" s="52">
        <f t="shared" si="0"/>
        <v>1888.635</v>
      </c>
      <c r="K21" s="19" t="s">
        <v>174</v>
      </c>
      <c r="L21" s="20" t="s">
        <v>175</v>
      </c>
      <c r="M21" s="35" t="s">
        <v>72</v>
      </c>
      <c r="N21" s="7" t="s">
        <v>237</v>
      </c>
      <c r="O21" s="21">
        <v>0</v>
      </c>
      <c r="P21" s="21" t="s">
        <v>178</v>
      </c>
      <c r="Q21" s="8" t="s">
        <v>179</v>
      </c>
      <c r="R21" s="9">
        <v>21469250</v>
      </c>
      <c r="S21" s="54">
        <f t="shared" si="1"/>
        <v>21469.25</v>
      </c>
      <c r="T21" s="9">
        <v>2698050</v>
      </c>
      <c r="U21" s="54">
        <f t="shared" si="2"/>
        <v>2698.05</v>
      </c>
      <c r="V21" s="10">
        <f>T21/R21</f>
        <v>0.12567043562304225</v>
      </c>
      <c r="W21" s="11" t="s">
        <v>180</v>
      </c>
      <c r="X21" s="9">
        <v>-1038551.24</v>
      </c>
      <c r="Y21" s="9">
        <f t="shared" si="3"/>
        <v>-1038.55124</v>
      </c>
      <c r="Z21" s="10">
        <f>X21/T21</f>
        <v>-0.38492660995904449</v>
      </c>
      <c r="AA21" s="11" t="s">
        <v>36</v>
      </c>
      <c r="AB21" s="66" t="s">
        <v>239</v>
      </c>
      <c r="AC21" s="11" t="str">
        <f>B21</f>
        <v xml:space="preserve">NEOENERGIA </v>
      </c>
      <c r="AD21" s="11" t="s">
        <v>183</v>
      </c>
      <c r="AE21" s="10">
        <f>Z21</f>
        <v>-0.38492660995904449</v>
      </c>
      <c r="AF21" s="9">
        <f>X21</f>
        <v>-1038551.24</v>
      </c>
      <c r="AG21" s="9">
        <f>AF21/1000</f>
        <v>-1038.55124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7" t="s">
        <v>184</v>
      </c>
      <c r="AQ21" s="100">
        <v>0</v>
      </c>
    </row>
    <row r="22" spans="1:43" hidden="1">
      <c r="A22" s="103">
        <v>41452</v>
      </c>
      <c r="B22" s="45" t="s">
        <v>252</v>
      </c>
      <c r="C22" s="2" t="s">
        <v>252</v>
      </c>
      <c r="D22" s="16" t="s">
        <v>253</v>
      </c>
      <c r="E22" s="22" t="s">
        <v>254</v>
      </c>
      <c r="F22" s="4" t="s">
        <v>173</v>
      </c>
      <c r="G22" s="18">
        <v>41452</v>
      </c>
      <c r="H22" s="33">
        <v>144221895</v>
      </c>
      <c r="I22" s="33">
        <v>144221895</v>
      </c>
      <c r="J22" s="52">
        <f t="shared" si="0"/>
        <v>144221.89499999999</v>
      </c>
      <c r="K22" s="23">
        <v>41452</v>
      </c>
      <c r="L22" s="20" t="s">
        <v>175</v>
      </c>
      <c r="M22" s="35" t="s">
        <v>73</v>
      </c>
      <c r="N22" s="7" t="s">
        <v>229</v>
      </c>
      <c r="O22" s="21">
        <v>0</v>
      </c>
      <c r="P22" s="21" t="s">
        <v>255</v>
      </c>
      <c r="Q22" s="8" t="s">
        <v>179</v>
      </c>
      <c r="R22" s="9">
        <v>178051730</v>
      </c>
      <c r="S22" s="54">
        <f t="shared" si="1"/>
        <v>178051.73</v>
      </c>
      <c r="T22" s="9">
        <v>160246550</v>
      </c>
      <c r="U22" s="54">
        <f t="shared" si="2"/>
        <v>160246.54999999999</v>
      </c>
      <c r="V22" s="10">
        <f>T22/R22</f>
        <v>0.89999996068558274</v>
      </c>
      <c r="W22" s="11" t="s">
        <v>180</v>
      </c>
      <c r="X22" s="9">
        <v>-12690077.57</v>
      </c>
      <c r="Y22" s="9">
        <f t="shared" si="3"/>
        <v>-12690.077569999999</v>
      </c>
      <c r="Z22" s="10">
        <f>X22/T22</f>
        <v>-7.9190956497971407E-2</v>
      </c>
      <c r="AA22" s="11" t="s">
        <v>36</v>
      </c>
      <c r="AB22" s="66" t="s">
        <v>230</v>
      </c>
      <c r="AC22" s="11" t="str">
        <f>B22</f>
        <v>AMAZONAS ENERGIA</v>
      </c>
      <c r="AD22" s="11" t="s">
        <v>183</v>
      </c>
      <c r="AE22" s="10">
        <f>Z22</f>
        <v>-7.9190956497971407E-2</v>
      </c>
      <c r="AF22" s="9">
        <f>X22</f>
        <v>-12690077.57</v>
      </c>
      <c r="AG22" s="9">
        <f>AF22/1000</f>
        <v>-12690.077569999999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7" t="s">
        <v>184</v>
      </c>
      <c r="AQ22" s="100">
        <v>0</v>
      </c>
    </row>
    <row r="23" spans="1:43" hidden="1">
      <c r="A23" s="103">
        <v>42948</v>
      </c>
      <c r="B23" s="47" t="s">
        <v>256</v>
      </c>
      <c r="C23" s="2" t="s">
        <v>257</v>
      </c>
      <c r="D23" s="2" t="s">
        <v>258</v>
      </c>
      <c r="E23" s="4" t="s">
        <v>259</v>
      </c>
      <c r="F23" s="4" t="s">
        <v>173</v>
      </c>
      <c r="G23" s="5">
        <v>42948</v>
      </c>
      <c r="H23" s="31">
        <v>5286987.7300000004</v>
      </c>
      <c r="I23" s="31">
        <v>5286987.7300000004</v>
      </c>
      <c r="J23" s="52">
        <f t="shared" si="0"/>
        <v>5286.9877300000007</v>
      </c>
      <c r="K23" s="6" t="s">
        <v>174</v>
      </c>
      <c r="L23" s="7" t="s">
        <v>175</v>
      </c>
      <c r="M23" s="34" t="s">
        <v>74</v>
      </c>
      <c r="N23" s="7" t="s">
        <v>220</v>
      </c>
      <c r="O23" s="7" t="s">
        <v>177</v>
      </c>
      <c r="P23" s="7" t="s">
        <v>260</v>
      </c>
      <c r="Q23" s="8" t="s">
        <v>179</v>
      </c>
      <c r="R23" s="9">
        <v>28307450</v>
      </c>
      <c r="S23" s="54">
        <f t="shared" si="1"/>
        <v>28307.45</v>
      </c>
      <c r="T23" s="9">
        <v>5661490</v>
      </c>
      <c r="U23" s="54">
        <f t="shared" si="2"/>
        <v>5661.49</v>
      </c>
      <c r="V23" s="10">
        <v>0.2</v>
      </c>
      <c r="W23" s="11" t="s">
        <v>180</v>
      </c>
      <c r="X23" s="9">
        <v>0</v>
      </c>
      <c r="Y23" s="9">
        <f t="shared" si="3"/>
        <v>0</v>
      </c>
      <c r="Z23" s="11">
        <v>0</v>
      </c>
      <c r="AA23" s="11" t="s">
        <v>36</v>
      </c>
      <c r="AB23" s="66" t="s">
        <v>221</v>
      </c>
      <c r="AC23" s="11" t="s">
        <v>182</v>
      </c>
      <c r="AD23" s="11" t="s">
        <v>183</v>
      </c>
      <c r="AE23" s="10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7" t="s">
        <v>184</v>
      </c>
      <c r="AQ23" s="100">
        <v>0</v>
      </c>
    </row>
    <row r="24" spans="1:43" hidden="1">
      <c r="A24" s="103">
        <v>43040</v>
      </c>
      <c r="B24" s="47" t="s">
        <v>261</v>
      </c>
      <c r="C24" s="2" t="s">
        <v>261</v>
      </c>
      <c r="D24" s="2" t="s">
        <v>262</v>
      </c>
      <c r="E24" s="3" t="s">
        <v>263</v>
      </c>
      <c r="F24" s="4" t="s">
        <v>173</v>
      </c>
      <c r="G24" s="5">
        <v>43040</v>
      </c>
      <c r="H24" s="31">
        <v>1050546.92</v>
      </c>
      <c r="I24" s="31">
        <v>1050546.92</v>
      </c>
      <c r="J24" s="52">
        <f t="shared" si="0"/>
        <v>1050.54692</v>
      </c>
      <c r="K24" s="6" t="s">
        <v>174</v>
      </c>
      <c r="L24" s="7" t="s">
        <v>175</v>
      </c>
      <c r="M24" s="34" t="s">
        <v>75</v>
      </c>
      <c r="N24" s="7" t="s">
        <v>176</v>
      </c>
      <c r="O24" s="7" t="s">
        <v>177</v>
      </c>
      <c r="P24" s="7" t="s">
        <v>178</v>
      </c>
      <c r="Q24" s="8" t="s">
        <v>179</v>
      </c>
      <c r="R24" s="9">
        <v>1715720</v>
      </c>
      <c r="S24" s="54">
        <f t="shared" si="1"/>
        <v>1715.72</v>
      </c>
      <c r="T24" s="9">
        <v>1201010</v>
      </c>
      <c r="U24" s="54">
        <f t="shared" si="2"/>
        <v>1201.01</v>
      </c>
      <c r="V24" s="10">
        <v>0.70000349707411469</v>
      </c>
      <c r="W24" s="11" t="s">
        <v>180</v>
      </c>
      <c r="X24" s="9">
        <v>0</v>
      </c>
      <c r="Y24" s="9">
        <f t="shared" si="3"/>
        <v>0</v>
      </c>
      <c r="Z24" s="11">
        <v>0</v>
      </c>
      <c r="AA24" s="11" t="s">
        <v>36</v>
      </c>
      <c r="AB24" s="66" t="s">
        <v>181</v>
      </c>
      <c r="AC24" s="11" t="s">
        <v>182</v>
      </c>
      <c r="AD24" s="11" t="s">
        <v>183</v>
      </c>
      <c r="AE24" s="10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7" t="s">
        <v>184</v>
      </c>
      <c r="AQ24" s="100">
        <v>0</v>
      </c>
    </row>
    <row r="25" spans="1:43" hidden="1">
      <c r="A25" s="103">
        <v>43983</v>
      </c>
      <c r="B25" s="47" t="s">
        <v>198</v>
      </c>
      <c r="C25" s="2" t="s">
        <v>264</v>
      </c>
      <c r="D25" s="2" t="s">
        <v>265</v>
      </c>
      <c r="E25" s="4" t="s">
        <v>266</v>
      </c>
      <c r="F25" s="4" t="s">
        <v>173</v>
      </c>
      <c r="G25" s="5">
        <v>43983</v>
      </c>
      <c r="H25" s="31">
        <v>21143706.149999999</v>
      </c>
      <c r="I25" s="31">
        <v>21143706.149999999</v>
      </c>
      <c r="J25" s="52">
        <f t="shared" si="0"/>
        <v>21143.706149999998</v>
      </c>
      <c r="K25" s="6" t="s">
        <v>174</v>
      </c>
      <c r="L25" s="7" t="s">
        <v>175</v>
      </c>
      <c r="M25" s="34" t="s">
        <v>76</v>
      </c>
      <c r="N25" s="7" t="s">
        <v>220</v>
      </c>
      <c r="O25" s="7" t="s">
        <v>177</v>
      </c>
      <c r="P25" s="7" t="s">
        <v>251</v>
      </c>
      <c r="Q25" s="8" t="s">
        <v>179</v>
      </c>
      <c r="R25" s="9">
        <v>40535220</v>
      </c>
      <c r="S25" s="54">
        <f t="shared" si="1"/>
        <v>40535.22</v>
      </c>
      <c r="T25" s="9">
        <v>20267610</v>
      </c>
      <c r="U25" s="54">
        <f t="shared" si="2"/>
        <v>20267.61</v>
      </c>
      <c r="V25" s="10">
        <v>0.5</v>
      </c>
      <c r="W25" s="11" t="s">
        <v>180</v>
      </c>
      <c r="X25" s="9">
        <v>0</v>
      </c>
      <c r="Y25" s="9">
        <f t="shared" si="3"/>
        <v>0</v>
      </c>
      <c r="Z25" s="11">
        <v>0</v>
      </c>
      <c r="AA25" s="11" t="s">
        <v>36</v>
      </c>
      <c r="AB25" s="66" t="s">
        <v>221</v>
      </c>
      <c r="AC25" s="11" t="str">
        <f t="shared" ref="AC25:AC88" si="5">B25</f>
        <v>ENERGISA</v>
      </c>
      <c r="AD25" s="11" t="s">
        <v>183</v>
      </c>
      <c r="AE25" s="10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7" t="s">
        <v>184</v>
      </c>
      <c r="AQ25" s="100">
        <v>0</v>
      </c>
    </row>
    <row r="26" spans="1:43" hidden="1">
      <c r="A26" s="103">
        <v>41548</v>
      </c>
      <c r="B26" s="45" t="s">
        <v>226</v>
      </c>
      <c r="C26" s="46" t="s">
        <v>226</v>
      </c>
      <c r="D26" s="16" t="s">
        <v>267</v>
      </c>
      <c r="E26" s="22" t="s">
        <v>268</v>
      </c>
      <c r="F26" s="4" t="s">
        <v>173</v>
      </c>
      <c r="G26" s="18">
        <v>41548</v>
      </c>
      <c r="H26" s="32">
        <v>21662127</v>
      </c>
      <c r="I26" s="32">
        <v>21662127</v>
      </c>
      <c r="J26" s="52">
        <f t="shared" si="0"/>
        <v>21662.127</v>
      </c>
      <c r="K26" s="19" t="s">
        <v>174</v>
      </c>
      <c r="L26" s="20" t="s">
        <v>175</v>
      </c>
      <c r="M26" s="35" t="s">
        <v>77</v>
      </c>
      <c r="N26" s="7" t="s">
        <v>220</v>
      </c>
      <c r="O26" s="21">
        <v>0</v>
      </c>
      <c r="P26" s="21" t="s">
        <v>269</v>
      </c>
      <c r="Q26" s="8" t="s">
        <v>179</v>
      </c>
      <c r="R26" s="9">
        <v>60172580</v>
      </c>
      <c r="S26" s="54">
        <f t="shared" si="1"/>
        <v>60172.58</v>
      </c>
      <c r="T26" s="9">
        <v>24069030</v>
      </c>
      <c r="U26" s="54">
        <f t="shared" si="2"/>
        <v>24069.03</v>
      </c>
      <c r="V26" s="10">
        <f>T26/R26</f>
        <v>0.39999996676226945</v>
      </c>
      <c r="W26" s="11" t="s">
        <v>180</v>
      </c>
      <c r="X26" s="9">
        <v>-6271648.6699999999</v>
      </c>
      <c r="Y26" s="9">
        <f t="shared" si="3"/>
        <v>-6271.6486699999996</v>
      </c>
      <c r="Z26" s="10">
        <f>X26/T26</f>
        <v>-0.26056923232884749</v>
      </c>
      <c r="AA26" s="11" t="s">
        <v>36</v>
      </c>
      <c r="AB26" s="66" t="s">
        <v>221</v>
      </c>
      <c r="AC26" s="11" t="str">
        <f t="shared" si="5"/>
        <v xml:space="preserve">NEOENERGIA </v>
      </c>
      <c r="AD26" s="11" t="s">
        <v>183</v>
      </c>
      <c r="AE26" s="10">
        <f>Z26</f>
        <v>-0.26056923232884749</v>
      </c>
      <c r="AF26" s="9">
        <f>X26</f>
        <v>-6271648.6699999999</v>
      </c>
      <c r="AG26" s="9">
        <f>AF26/1000</f>
        <v>-6271.6486699999996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7" t="s">
        <v>184</v>
      </c>
      <c r="AQ26" s="100">
        <v>0</v>
      </c>
    </row>
    <row r="27" spans="1:43" hidden="1">
      <c r="A27" s="103">
        <v>41556</v>
      </c>
      <c r="B27" s="45" t="s">
        <v>226</v>
      </c>
      <c r="C27" s="45" t="s">
        <v>226</v>
      </c>
      <c r="D27" s="16" t="s">
        <v>270</v>
      </c>
      <c r="E27" s="22" t="s">
        <v>271</v>
      </c>
      <c r="F27" s="4" t="s">
        <v>173</v>
      </c>
      <c r="G27" s="18">
        <v>41556</v>
      </c>
      <c r="H27" s="32">
        <v>12348910</v>
      </c>
      <c r="I27" s="32">
        <v>12348910</v>
      </c>
      <c r="J27" s="52">
        <f t="shared" si="0"/>
        <v>12348.91</v>
      </c>
      <c r="K27" s="19" t="s">
        <v>174</v>
      </c>
      <c r="L27" s="20" t="s">
        <v>175</v>
      </c>
      <c r="M27" s="34" t="s">
        <v>78</v>
      </c>
      <c r="N27" s="7" t="s">
        <v>229</v>
      </c>
      <c r="O27" s="21">
        <v>0</v>
      </c>
      <c r="P27" s="21" t="s">
        <v>272</v>
      </c>
      <c r="Q27" s="8" t="s">
        <v>179</v>
      </c>
      <c r="R27" s="9">
        <v>44103260</v>
      </c>
      <c r="S27" s="54">
        <f t="shared" si="1"/>
        <v>44103.26</v>
      </c>
      <c r="T27" s="9">
        <v>17641300</v>
      </c>
      <c r="U27" s="54">
        <f t="shared" si="2"/>
        <v>17641.3</v>
      </c>
      <c r="V27" s="10">
        <f>T27/R27</f>
        <v>0.39999990930375667</v>
      </c>
      <c r="W27" s="11" t="s">
        <v>180</v>
      </c>
      <c r="X27" s="9">
        <v>-3941429.02</v>
      </c>
      <c r="Y27" s="9">
        <f t="shared" si="3"/>
        <v>-3941.42902</v>
      </c>
      <c r="Z27" s="10">
        <f>X27/T27</f>
        <v>-0.22342055404080199</v>
      </c>
      <c r="AA27" s="11" t="s">
        <v>36</v>
      </c>
      <c r="AB27" s="66" t="s">
        <v>230</v>
      </c>
      <c r="AC27" s="11" t="str">
        <f t="shared" si="5"/>
        <v xml:space="preserve">NEOENERGIA </v>
      </c>
      <c r="AD27" s="11" t="s">
        <v>183</v>
      </c>
      <c r="AE27" s="10">
        <f>Z27</f>
        <v>-0.22342055404080199</v>
      </c>
      <c r="AF27" s="9">
        <f>X27</f>
        <v>-3941429.02</v>
      </c>
      <c r="AG27" s="9">
        <f>AF27/1000</f>
        <v>-3941.42902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7" t="s">
        <v>184</v>
      </c>
      <c r="AQ27" s="100">
        <v>0</v>
      </c>
    </row>
    <row r="28" spans="1:43" hidden="1">
      <c r="A28" s="103">
        <v>43132</v>
      </c>
      <c r="B28" s="47" t="s">
        <v>198</v>
      </c>
      <c r="C28" s="2" t="s">
        <v>273</v>
      </c>
      <c r="D28" s="2" t="s">
        <v>274</v>
      </c>
      <c r="E28" s="4" t="s">
        <v>275</v>
      </c>
      <c r="F28" s="4" t="s">
        <v>173</v>
      </c>
      <c r="G28" s="5">
        <v>43132</v>
      </c>
      <c r="H28" s="31">
        <v>7364433.25</v>
      </c>
      <c r="I28" s="31">
        <v>7364433.25</v>
      </c>
      <c r="J28" s="52">
        <f t="shared" si="0"/>
        <v>7364.43325</v>
      </c>
      <c r="K28" s="6" t="s">
        <v>174</v>
      </c>
      <c r="L28" s="7" t="s">
        <v>175</v>
      </c>
      <c r="M28" s="34" t="s">
        <v>79</v>
      </c>
      <c r="N28" s="7" t="s">
        <v>229</v>
      </c>
      <c r="O28" s="7" t="s">
        <v>177</v>
      </c>
      <c r="P28" s="7" t="s">
        <v>276</v>
      </c>
      <c r="Q28" s="8" t="s">
        <v>179</v>
      </c>
      <c r="R28" s="9">
        <v>13028920</v>
      </c>
      <c r="S28" s="54">
        <f t="shared" si="1"/>
        <v>13028.92</v>
      </c>
      <c r="T28" s="9">
        <v>9120250</v>
      </c>
      <c r="U28" s="54">
        <f t="shared" si="2"/>
        <v>9120.25</v>
      </c>
      <c r="V28" s="10">
        <v>0.700000460513995</v>
      </c>
      <c r="W28" s="11" t="s">
        <v>180</v>
      </c>
      <c r="X28" s="9">
        <v>0</v>
      </c>
      <c r="Y28" s="9">
        <f t="shared" si="3"/>
        <v>0</v>
      </c>
      <c r="Z28" s="11">
        <v>0</v>
      </c>
      <c r="AA28" s="11" t="s">
        <v>36</v>
      </c>
      <c r="AB28" s="66" t="s">
        <v>230</v>
      </c>
      <c r="AC28" s="11" t="str">
        <f t="shared" si="5"/>
        <v>ENERGISA</v>
      </c>
      <c r="AD28" s="11" t="s">
        <v>183</v>
      </c>
      <c r="AE28" s="10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7" t="s">
        <v>184</v>
      </c>
      <c r="AQ28" s="100">
        <v>0</v>
      </c>
    </row>
    <row r="29" spans="1:43" hidden="1">
      <c r="A29" s="103">
        <v>44013</v>
      </c>
      <c r="B29" s="47" t="s">
        <v>198</v>
      </c>
      <c r="C29" s="2" t="s">
        <v>215</v>
      </c>
      <c r="D29" s="2" t="s">
        <v>216</v>
      </c>
      <c r="E29" s="4" t="s">
        <v>277</v>
      </c>
      <c r="F29" s="4" t="s">
        <v>173</v>
      </c>
      <c r="G29" s="5">
        <v>44013</v>
      </c>
      <c r="H29" s="31">
        <v>12604397.560000001</v>
      </c>
      <c r="I29" s="31">
        <v>12604397.560000001</v>
      </c>
      <c r="J29" s="52">
        <f t="shared" si="0"/>
        <v>12604.397560000001</v>
      </c>
      <c r="K29" s="6" t="s">
        <v>174</v>
      </c>
      <c r="L29" s="7" t="s">
        <v>175</v>
      </c>
      <c r="M29" s="34" t="s">
        <v>80</v>
      </c>
      <c r="N29" s="7" t="s">
        <v>220</v>
      </c>
      <c r="O29" s="7" t="s">
        <v>177</v>
      </c>
      <c r="P29" s="7" t="s">
        <v>217</v>
      </c>
      <c r="Q29" s="8" t="s">
        <v>179</v>
      </c>
      <c r="R29" s="9">
        <v>117981500</v>
      </c>
      <c r="S29" s="54">
        <f t="shared" si="1"/>
        <v>117981.5</v>
      </c>
      <c r="T29" s="9">
        <v>88486120</v>
      </c>
      <c r="U29" s="54">
        <f t="shared" si="2"/>
        <v>88486.12</v>
      </c>
      <c r="V29" s="10">
        <v>0.74999995762047444</v>
      </c>
      <c r="W29" s="11" t="s">
        <v>180</v>
      </c>
      <c r="X29" s="9">
        <v>0</v>
      </c>
      <c r="Y29" s="9">
        <f t="shared" si="3"/>
        <v>0</v>
      </c>
      <c r="Z29" s="11">
        <v>0</v>
      </c>
      <c r="AA29" s="11" t="s">
        <v>36</v>
      </c>
      <c r="AB29" s="66" t="s">
        <v>221</v>
      </c>
      <c r="AC29" s="11" t="str">
        <f t="shared" si="5"/>
        <v>ENERGISA</v>
      </c>
      <c r="AD29" s="11" t="s">
        <v>183</v>
      </c>
      <c r="AE29" s="10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7" t="s">
        <v>184</v>
      </c>
      <c r="AQ29" s="100">
        <v>0</v>
      </c>
    </row>
    <row r="30" spans="1:43" hidden="1">
      <c r="A30" s="103">
        <v>42979</v>
      </c>
      <c r="B30" s="45" t="s">
        <v>187</v>
      </c>
      <c r="C30" s="2" t="s">
        <v>278</v>
      </c>
      <c r="D30" s="16" t="s">
        <v>279</v>
      </c>
      <c r="E30" s="22" t="s">
        <v>280</v>
      </c>
      <c r="F30" s="17" t="s">
        <v>173</v>
      </c>
      <c r="G30" s="18">
        <v>41914</v>
      </c>
      <c r="H30" s="32">
        <v>193224672</v>
      </c>
      <c r="I30" s="32">
        <v>193224672</v>
      </c>
      <c r="J30" s="52">
        <f t="shared" si="0"/>
        <v>193224.67199999999</v>
      </c>
      <c r="K30" s="23" t="s">
        <v>174</v>
      </c>
      <c r="L30" s="20" t="s">
        <v>175</v>
      </c>
      <c r="M30" s="35" t="s">
        <v>81</v>
      </c>
      <c r="N30" s="7" t="s">
        <v>237</v>
      </c>
      <c r="O30" s="21">
        <v>0</v>
      </c>
      <c r="P30" s="21" t="s">
        <v>281</v>
      </c>
      <c r="Q30" s="8" t="s">
        <v>179</v>
      </c>
      <c r="R30" s="9">
        <v>285261950</v>
      </c>
      <c r="S30" s="9">
        <f t="shared" si="1"/>
        <v>285261.95</v>
      </c>
      <c r="T30" s="9">
        <v>213946460</v>
      </c>
      <c r="U30" s="9">
        <f t="shared" si="2"/>
        <v>213946.46</v>
      </c>
      <c r="V30" s="10">
        <f>T30/R30</f>
        <v>0.74999999123612526</v>
      </c>
      <c r="W30" s="11" t="s">
        <v>180</v>
      </c>
      <c r="X30" s="9">
        <f>SUMIF(Devolução!M:M,Liberações!M336,Devolução!I:I)</f>
        <v>0</v>
      </c>
      <c r="Y30" s="9">
        <f t="shared" si="3"/>
        <v>0</v>
      </c>
      <c r="Z30" s="10">
        <f>X30/T30</f>
        <v>0</v>
      </c>
      <c r="AA30" s="11" t="s">
        <v>36</v>
      </c>
      <c r="AB30" s="66" t="s">
        <v>239</v>
      </c>
      <c r="AC30" s="11" t="str">
        <f t="shared" si="5"/>
        <v>EQUATORIAL</v>
      </c>
      <c r="AD30" s="11" t="s">
        <v>183</v>
      </c>
      <c r="AE30" s="10">
        <f>Z30</f>
        <v>0</v>
      </c>
      <c r="AF30" s="9">
        <f>X30</f>
        <v>0</v>
      </c>
      <c r="AG30" s="9">
        <f>AF30/1000</f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7" t="s">
        <v>184</v>
      </c>
      <c r="AQ30" s="100">
        <v>0</v>
      </c>
    </row>
    <row r="31" spans="1:43" hidden="1">
      <c r="A31" s="103">
        <v>44228</v>
      </c>
      <c r="B31" s="45" t="s">
        <v>187</v>
      </c>
      <c r="C31" s="2" t="s">
        <v>211</v>
      </c>
      <c r="D31" s="16" t="s">
        <v>212</v>
      </c>
      <c r="E31" s="22" t="s">
        <v>213</v>
      </c>
      <c r="F31" s="17" t="s">
        <v>173</v>
      </c>
      <c r="G31" s="18">
        <v>44228</v>
      </c>
      <c r="H31" s="32">
        <v>15519825</v>
      </c>
      <c r="I31" s="32">
        <v>15519825</v>
      </c>
      <c r="J31" s="52">
        <f t="shared" si="0"/>
        <v>15519.825000000001</v>
      </c>
      <c r="K31" s="23">
        <v>44229</v>
      </c>
      <c r="L31" s="20" t="s">
        <v>175</v>
      </c>
      <c r="M31" s="35" t="s">
        <v>82</v>
      </c>
      <c r="N31" s="7" t="s">
        <v>191</v>
      </c>
      <c r="O31" s="21">
        <v>0</v>
      </c>
      <c r="P31" s="21" t="s">
        <v>214</v>
      </c>
      <c r="Q31" s="8" t="s">
        <v>179</v>
      </c>
      <c r="R31" s="9">
        <v>57480830</v>
      </c>
      <c r="S31" s="54">
        <f t="shared" si="1"/>
        <v>57480.83</v>
      </c>
      <c r="T31" s="9">
        <v>51732750</v>
      </c>
      <c r="U31" s="54">
        <f t="shared" si="2"/>
        <v>51732.75</v>
      </c>
      <c r="V31" s="10">
        <f>T31/R31</f>
        <v>0.90000005219131318</v>
      </c>
      <c r="W31" s="11" t="s">
        <v>180</v>
      </c>
      <c r="X31" s="9">
        <f>SUMIF(Devolução!M:M,Liberações!M334,Devolução!I:I)</f>
        <v>0</v>
      </c>
      <c r="Y31" s="9">
        <f t="shared" si="3"/>
        <v>0</v>
      </c>
      <c r="Z31" s="10">
        <f>X31/T31</f>
        <v>0</v>
      </c>
      <c r="AA31" s="11" t="s">
        <v>282</v>
      </c>
      <c r="AB31" s="66" t="s">
        <v>193</v>
      </c>
      <c r="AC31" s="11" t="str">
        <f t="shared" si="5"/>
        <v>EQUATORIAL</v>
      </c>
      <c r="AD31" s="11" t="s">
        <v>183</v>
      </c>
      <c r="AE31" s="10">
        <f>Z31</f>
        <v>0</v>
      </c>
      <c r="AF31" s="9">
        <f>X31</f>
        <v>0</v>
      </c>
      <c r="AG31" s="9">
        <f>AF31/1000</f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7" t="s">
        <v>184</v>
      </c>
      <c r="AQ31" s="100">
        <v>0</v>
      </c>
    </row>
    <row r="32" spans="1:43" hidden="1">
      <c r="A32" s="103">
        <v>44287</v>
      </c>
      <c r="B32" s="47" t="s">
        <v>252</v>
      </c>
      <c r="C32" s="2" t="s">
        <v>252</v>
      </c>
      <c r="D32" s="2" t="s">
        <v>228</v>
      </c>
      <c r="E32" s="4" t="s">
        <v>186</v>
      </c>
      <c r="F32" s="4" t="s">
        <v>283</v>
      </c>
      <c r="G32" s="5">
        <v>44287</v>
      </c>
      <c r="H32" s="31">
        <v>37278.6</v>
      </c>
      <c r="I32" s="31">
        <v>37278.6</v>
      </c>
      <c r="J32" s="52">
        <f t="shared" si="0"/>
        <v>37.278599999999997</v>
      </c>
      <c r="K32" s="12">
        <v>44287</v>
      </c>
      <c r="L32" s="7" t="s">
        <v>175</v>
      </c>
      <c r="M32" s="34" t="s">
        <v>83</v>
      </c>
      <c r="N32" s="7" t="s">
        <v>191</v>
      </c>
      <c r="O32" s="7" t="s">
        <v>284</v>
      </c>
      <c r="P32" s="7" t="s">
        <v>255</v>
      </c>
      <c r="Q32" s="8" t="s">
        <v>179</v>
      </c>
      <c r="R32" s="9">
        <v>3727860</v>
      </c>
      <c r="S32" s="54">
        <f t="shared" si="1"/>
        <v>3727.86</v>
      </c>
      <c r="T32" s="9">
        <v>3355080</v>
      </c>
      <c r="U32" s="54">
        <f t="shared" si="2"/>
        <v>3355.08</v>
      </c>
      <c r="V32" s="10">
        <v>0.90000160950250274</v>
      </c>
      <c r="W32" s="11" t="s">
        <v>285</v>
      </c>
      <c r="X32" s="9">
        <v>-422723.60000000003</v>
      </c>
      <c r="Y32" s="9">
        <f t="shared" si="3"/>
        <v>-422.72360000000003</v>
      </c>
      <c r="Z32" s="10">
        <f>X32/T32</f>
        <v>-0.12599508804559056</v>
      </c>
      <c r="AA32" s="11" t="s">
        <v>282</v>
      </c>
      <c r="AB32" s="66" t="s">
        <v>193</v>
      </c>
      <c r="AC32" s="11" t="str">
        <f t="shared" si="5"/>
        <v>AMAZONAS ENERGIA</v>
      </c>
      <c r="AD32" s="11" t="s">
        <v>183</v>
      </c>
      <c r="AE32" s="10">
        <f>Z32</f>
        <v>-0.12599508804559056</v>
      </c>
      <c r="AF32" s="9">
        <f>X32</f>
        <v>-422723.60000000003</v>
      </c>
      <c r="AG32" s="9">
        <f>AF32/1000</f>
        <v>-422.72360000000003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7" t="s">
        <v>184</v>
      </c>
      <c r="AQ32" s="100">
        <v>0</v>
      </c>
    </row>
    <row r="33" spans="1:43" hidden="1">
      <c r="A33" s="103">
        <v>44287</v>
      </c>
      <c r="B33" s="47" t="s">
        <v>252</v>
      </c>
      <c r="C33" s="2" t="s">
        <v>252</v>
      </c>
      <c r="D33" s="2" t="s">
        <v>253</v>
      </c>
      <c r="E33" s="4" t="s">
        <v>254</v>
      </c>
      <c r="F33" s="4" t="s">
        <v>283</v>
      </c>
      <c r="G33" s="5">
        <v>44287</v>
      </c>
      <c r="H33" s="31">
        <v>969245.4</v>
      </c>
      <c r="I33" s="31">
        <v>969245.4</v>
      </c>
      <c r="J33" s="52">
        <f t="shared" si="0"/>
        <v>969.24540000000002</v>
      </c>
      <c r="K33" s="12">
        <v>44287</v>
      </c>
      <c r="L33" s="7" t="s">
        <v>175</v>
      </c>
      <c r="M33" s="34" t="s">
        <v>83</v>
      </c>
      <c r="N33" s="7" t="s">
        <v>191</v>
      </c>
      <c r="O33" s="7" t="s">
        <v>284</v>
      </c>
      <c r="P33" s="7" t="s">
        <v>255</v>
      </c>
      <c r="Q33" s="8" t="s">
        <v>179</v>
      </c>
      <c r="R33" s="9">
        <v>0</v>
      </c>
      <c r="S33" s="54">
        <f t="shared" si="1"/>
        <v>0</v>
      </c>
      <c r="T33" s="9">
        <v>0</v>
      </c>
      <c r="U33" s="54">
        <f t="shared" si="2"/>
        <v>0</v>
      </c>
      <c r="V33" s="11">
        <v>0</v>
      </c>
      <c r="W33" s="11" t="s">
        <v>285</v>
      </c>
      <c r="X33" s="9">
        <v>0</v>
      </c>
      <c r="Y33" s="9">
        <f t="shared" si="3"/>
        <v>0</v>
      </c>
      <c r="Z33" s="11">
        <v>0</v>
      </c>
      <c r="AA33" s="11" t="s">
        <v>282</v>
      </c>
      <c r="AB33" s="66" t="s">
        <v>193</v>
      </c>
      <c r="AC33" s="11" t="str">
        <f t="shared" si="5"/>
        <v>AMAZONAS ENERGIA</v>
      </c>
      <c r="AD33" s="11" t="s">
        <v>183</v>
      </c>
      <c r="AE33" s="10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7" t="s">
        <v>184</v>
      </c>
      <c r="AQ33" s="100">
        <v>0</v>
      </c>
    </row>
    <row r="34" spans="1:43" hidden="1">
      <c r="A34" s="103">
        <v>44562</v>
      </c>
      <c r="B34" s="47" t="s">
        <v>252</v>
      </c>
      <c r="C34" s="2" t="s">
        <v>252</v>
      </c>
      <c r="D34" s="2" t="s">
        <v>253</v>
      </c>
      <c r="E34" s="4" t="s">
        <v>254</v>
      </c>
      <c r="F34" s="4" t="s">
        <v>283</v>
      </c>
      <c r="G34" s="5">
        <v>44562</v>
      </c>
      <c r="H34" s="31">
        <v>2013048</v>
      </c>
      <c r="I34" s="31">
        <v>2013048</v>
      </c>
      <c r="J34" s="52">
        <f t="shared" ref="J34:J65" si="6">I34/1000</f>
        <v>2013.048</v>
      </c>
      <c r="K34" s="12">
        <v>44589</v>
      </c>
      <c r="L34" s="7" t="s">
        <v>175</v>
      </c>
      <c r="M34" s="34" t="s">
        <v>83</v>
      </c>
      <c r="N34" s="7" t="s">
        <v>191</v>
      </c>
      <c r="O34" s="7" t="s">
        <v>286</v>
      </c>
      <c r="P34" s="7" t="s">
        <v>255</v>
      </c>
      <c r="Q34" s="8" t="s">
        <v>179</v>
      </c>
      <c r="R34" s="9">
        <v>0</v>
      </c>
      <c r="S34" s="54">
        <f t="shared" si="1"/>
        <v>0</v>
      </c>
      <c r="T34" s="9">
        <v>0</v>
      </c>
      <c r="U34" s="54">
        <f t="shared" si="2"/>
        <v>0</v>
      </c>
      <c r="V34" s="11">
        <v>0</v>
      </c>
      <c r="W34" s="11" t="s">
        <v>285</v>
      </c>
      <c r="X34" s="9">
        <v>0</v>
      </c>
      <c r="Y34" s="9">
        <f t="shared" si="3"/>
        <v>0</v>
      </c>
      <c r="Z34" s="11">
        <v>0</v>
      </c>
      <c r="AA34" s="11" t="s">
        <v>282</v>
      </c>
      <c r="AB34" s="66" t="s">
        <v>193</v>
      </c>
      <c r="AC34" s="11" t="str">
        <f t="shared" si="5"/>
        <v>AMAZONAS ENERGIA</v>
      </c>
      <c r="AD34" s="11" t="s">
        <v>183</v>
      </c>
      <c r="AE34" s="10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7" t="s">
        <v>184</v>
      </c>
      <c r="AQ34" s="100">
        <v>0</v>
      </c>
    </row>
    <row r="35" spans="1:43" hidden="1">
      <c r="A35" s="103">
        <v>44287</v>
      </c>
      <c r="B35" s="47" t="s">
        <v>187</v>
      </c>
      <c r="C35" s="2" t="s">
        <v>211</v>
      </c>
      <c r="D35" s="2" t="s">
        <v>228</v>
      </c>
      <c r="E35" s="4" t="s">
        <v>186</v>
      </c>
      <c r="F35" s="4" t="s">
        <v>283</v>
      </c>
      <c r="G35" s="5">
        <v>44287</v>
      </c>
      <c r="H35" s="31">
        <v>3616936.6</v>
      </c>
      <c r="I35" s="31">
        <v>3616936.6</v>
      </c>
      <c r="J35" s="52">
        <f t="shared" si="6"/>
        <v>3616.9366</v>
      </c>
      <c r="K35" s="12">
        <v>44294</v>
      </c>
      <c r="L35" s="7" t="s">
        <v>175</v>
      </c>
      <c r="M35" s="34" t="s">
        <v>84</v>
      </c>
      <c r="N35" s="7" t="s">
        <v>176</v>
      </c>
      <c r="O35" s="7" t="s">
        <v>284</v>
      </c>
      <c r="P35" s="7" t="s">
        <v>214</v>
      </c>
      <c r="Q35" s="8" t="s">
        <v>179</v>
      </c>
      <c r="R35" s="9">
        <v>361693660</v>
      </c>
      <c r="S35" s="54">
        <f t="shared" si="1"/>
        <v>361693.66</v>
      </c>
      <c r="T35" s="9">
        <v>325524290</v>
      </c>
      <c r="U35" s="54">
        <f t="shared" si="2"/>
        <v>325524.28999999998</v>
      </c>
      <c r="V35" s="10">
        <v>0.89999998894091759</v>
      </c>
      <c r="W35" s="11" t="s">
        <v>285</v>
      </c>
      <c r="X35" s="9">
        <v>-791518.62</v>
      </c>
      <c r="Y35" s="9">
        <f t="shared" si="3"/>
        <v>-791.51861999999994</v>
      </c>
      <c r="Z35" s="10">
        <f>X35/T35</f>
        <v>-2.4315193806274792E-3</v>
      </c>
      <c r="AA35" s="11" t="s">
        <v>282</v>
      </c>
      <c r="AB35" s="66" t="s">
        <v>181</v>
      </c>
      <c r="AC35" s="11" t="str">
        <f t="shared" si="5"/>
        <v>EQUATORIAL</v>
      </c>
      <c r="AD35" s="11" t="s">
        <v>183</v>
      </c>
      <c r="AE35" s="10">
        <f>Z35</f>
        <v>-2.4315193806274792E-3</v>
      </c>
      <c r="AF35" s="9">
        <f>X35</f>
        <v>-791518.62</v>
      </c>
      <c r="AG35" s="9">
        <f>AF35/1000</f>
        <v>-791.51861999999994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7" t="s">
        <v>184</v>
      </c>
      <c r="AQ35" s="100">
        <v>0</v>
      </c>
    </row>
    <row r="36" spans="1:43" hidden="1">
      <c r="A36" s="103">
        <v>44287</v>
      </c>
      <c r="B36" s="47" t="s">
        <v>187</v>
      </c>
      <c r="C36" s="2" t="s">
        <v>211</v>
      </c>
      <c r="D36" s="2" t="s">
        <v>212</v>
      </c>
      <c r="E36" s="4" t="s">
        <v>213</v>
      </c>
      <c r="F36" s="4" t="s">
        <v>283</v>
      </c>
      <c r="G36" s="5">
        <v>44287</v>
      </c>
      <c r="H36" s="31">
        <v>94040350.400000006</v>
      </c>
      <c r="I36" s="31">
        <v>94040350.400000006</v>
      </c>
      <c r="J36" s="52">
        <f t="shared" si="6"/>
        <v>94040.35040000001</v>
      </c>
      <c r="K36" s="12">
        <v>44294</v>
      </c>
      <c r="L36" s="7" t="s">
        <v>175</v>
      </c>
      <c r="M36" s="34" t="s">
        <v>84</v>
      </c>
      <c r="N36" s="7" t="s">
        <v>176</v>
      </c>
      <c r="O36" s="7" t="s">
        <v>284</v>
      </c>
      <c r="P36" s="7" t="s">
        <v>214</v>
      </c>
      <c r="Q36" s="8" t="s">
        <v>179</v>
      </c>
      <c r="R36" s="9">
        <v>0</v>
      </c>
      <c r="S36" s="54">
        <f t="shared" si="1"/>
        <v>0</v>
      </c>
      <c r="T36" s="9">
        <v>0</v>
      </c>
      <c r="U36" s="54">
        <f t="shared" si="2"/>
        <v>0</v>
      </c>
      <c r="V36" s="11">
        <v>0</v>
      </c>
      <c r="W36" s="11" t="s">
        <v>285</v>
      </c>
      <c r="X36" s="9">
        <v>0</v>
      </c>
      <c r="Y36" s="9">
        <f t="shared" si="3"/>
        <v>0</v>
      </c>
      <c r="Z36" s="11">
        <v>0</v>
      </c>
      <c r="AA36" s="11" t="s">
        <v>282</v>
      </c>
      <c r="AB36" s="66" t="s">
        <v>181</v>
      </c>
      <c r="AC36" s="11" t="str">
        <f t="shared" si="5"/>
        <v>EQUATORIAL</v>
      </c>
      <c r="AD36" s="11" t="s">
        <v>183</v>
      </c>
      <c r="AE36" s="10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7" t="s">
        <v>184</v>
      </c>
      <c r="AQ36" s="100">
        <v>0</v>
      </c>
    </row>
    <row r="37" spans="1:43" hidden="1">
      <c r="A37" s="103">
        <v>44593</v>
      </c>
      <c r="B37" s="47" t="s">
        <v>187</v>
      </c>
      <c r="C37" s="2" t="s">
        <v>211</v>
      </c>
      <c r="D37" s="2" t="s">
        <v>212</v>
      </c>
      <c r="E37" s="4" t="s">
        <v>213</v>
      </c>
      <c r="F37" s="4" t="s">
        <v>283</v>
      </c>
      <c r="G37" s="5">
        <v>44593</v>
      </c>
      <c r="H37" s="31">
        <v>65104858</v>
      </c>
      <c r="I37" s="31">
        <v>65104858</v>
      </c>
      <c r="J37" s="52">
        <f t="shared" si="6"/>
        <v>65104.858</v>
      </c>
      <c r="K37" s="12">
        <v>44609</v>
      </c>
      <c r="L37" s="7" t="s">
        <v>175</v>
      </c>
      <c r="M37" s="34" t="s">
        <v>84</v>
      </c>
      <c r="N37" s="7" t="s">
        <v>176</v>
      </c>
      <c r="O37" s="7" t="s">
        <v>287</v>
      </c>
      <c r="P37" s="7" t="s">
        <v>214</v>
      </c>
      <c r="Q37" s="8" t="s">
        <v>179</v>
      </c>
      <c r="R37" s="9">
        <v>0</v>
      </c>
      <c r="S37" s="54">
        <f t="shared" si="1"/>
        <v>0</v>
      </c>
      <c r="T37" s="9">
        <v>0</v>
      </c>
      <c r="U37" s="54">
        <f t="shared" si="2"/>
        <v>0</v>
      </c>
      <c r="V37" s="11">
        <v>0</v>
      </c>
      <c r="W37" s="11" t="s">
        <v>285</v>
      </c>
      <c r="X37" s="9">
        <v>0</v>
      </c>
      <c r="Y37" s="9">
        <f t="shared" si="3"/>
        <v>0</v>
      </c>
      <c r="Z37" s="11">
        <v>0</v>
      </c>
      <c r="AA37" s="11" t="s">
        <v>282</v>
      </c>
      <c r="AB37" s="66" t="s">
        <v>181</v>
      </c>
      <c r="AC37" s="11" t="str">
        <f t="shared" si="5"/>
        <v>EQUATORIAL</v>
      </c>
      <c r="AD37" s="11" t="s">
        <v>183</v>
      </c>
      <c r="AE37" s="10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7" t="s">
        <v>184</v>
      </c>
      <c r="AQ37" s="100">
        <v>0</v>
      </c>
    </row>
    <row r="38" spans="1:43" hidden="1">
      <c r="A38" s="103">
        <v>44713</v>
      </c>
      <c r="B38" s="47" t="s">
        <v>187</v>
      </c>
      <c r="C38" s="2" t="s">
        <v>211</v>
      </c>
      <c r="D38" s="2" t="s">
        <v>212</v>
      </c>
      <c r="E38" s="4" t="s">
        <v>213</v>
      </c>
      <c r="F38" s="4" t="s">
        <v>283</v>
      </c>
      <c r="G38" s="5">
        <v>44713</v>
      </c>
      <c r="H38" s="31">
        <v>48828643.5</v>
      </c>
      <c r="I38" s="31">
        <v>48828643.5</v>
      </c>
      <c r="J38" s="52">
        <f t="shared" si="6"/>
        <v>48828.643499999998</v>
      </c>
      <c r="K38" s="12">
        <v>44736</v>
      </c>
      <c r="L38" s="7" t="s">
        <v>175</v>
      </c>
      <c r="M38" s="34" t="s">
        <v>84</v>
      </c>
      <c r="N38" s="7" t="s">
        <v>176</v>
      </c>
      <c r="O38" s="7" t="s">
        <v>288</v>
      </c>
      <c r="P38" s="7" t="s">
        <v>214</v>
      </c>
      <c r="Q38" s="8" t="s">
        <v>179</v>
      </c>
      <c r="R38" s="9">
        <v>0</v>
      </c>
      <c r="S38" s="54">
        <f t="shared" si="1"/>
        <v>0</v>
      </c>
      <c r="T38" s="9">
        <v>0</v>
      </c>
      <c r="U38" s="54">
        <f t="shared" si="2"/>
        <v>0</v>
      </c>
      <c r="V38" s="11">
        <v>0</v>
      </c>
      <c r="W38" s="11" t="s">
        <v>285</v>
      </c>
      <c r="X38" s="9">
        <v>0</v>
      </c>
      <c r="Y38" s="9">
        <f t="shared" si="3"/>
        <v>0</v>
      </c>
      <c r="Z38" s="11">
        <v>0</v>
      </c>
      <c r="AA38" s="11" t="s">
        <v>282</v>
      </c>
      <c r="AB38" s="66" t="s">
        <v>181</v>
      </c>
      <c r="AC38" s="11" t="str">
        <f t="shared" si="5"/>
        <v>EQUATORIAL</v>
      </c>
      <c r="AD38" s="11" t="s">
        <v>183</v>
      </c>
      <c r="AE38" s="10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7" t="s">
        <v>184</v>
      </c>
      <c r="AQ38" s="100">
        <v>0</v>
      </c>
    </row>
    <row r="39" spans="1:43" hidden="1">
      <c r="A39" s="103">
        <v>44774</v>
      </c>
      <c r="B39" s="47" t="s">
        <v>187</v>
      </c>
      <c r="C39" s="2" t="s">
        <v>211</v>
      </c>
      <c r="D39" s="2" t="s">
        <v>212</v>
      </c>
      <c r="E39" s="4" t="s">
        <v>213</v>
      </c>
      <c r="F39" s="4" t="s">
        <v>283</v>
      </c>
      <c r="G39" s="5">
        <v>44774</v>
      </c>
      <c r="H39" s="31">
        <v>81381072.5</v>
      </c>
      <c r="I39" s="31">
        <v>81381072.5</v>
      </c>
      <c r="J39" s="52">
        <f t="shared" si="6"/>
        <v>81381.072499999995</v>
      </c>
      <c r="K39" s="12">
        <v>44799</v>
      </c>
      <c r="L39" s="7" t="s">
        <v>175</v>
      </c>
      <c r="M39" s="34" t="s">
        <v>84</v>
      </c>
      <c r="N39" s="7" t="s">
        <v>176</v>
      </c>
      <c r="O39" s="7" t="s">
        <v>289</v>
      </c>
      <c r="P39" s="7" t="s">
        <v>214</v>
      </c>
      <c r="Q39" s="8" t="s">
        <v>179</v>
      </c>
      <c r="R39" s="9">
        <v>0</v>
      </c>
      <c r="S39" s="54">
        <f t="shared" si="1"/>
        <v>0</v>
      </c>
      <c r="T39" s="9">
        <v>0</v>
      </c>
      <c r="U39" s="54">
        <f t="shared" si="2"/>
        <v>0</v>
      </c>
      <c r="V39" s="11">
        <v>0</v>
      </c>
      <c r="W39" s="11" t="s">
        <v>285</v>
      </c>
      <c r="X39" s="9">
        <v>0</v>
      </c>
      <c r="Y39" s="9">
        <f t="shared" si="3"/>
        <v>0</v>
      </c>
      <c r="Z39" s="11">
        <v>0</v>
      </c>
      <c r="AA39" s="11" t="s">
        <v>282</v>
      </c>
      <c r="AB39" s="66" t="s">
        <v>181</v>
      </c>
      <c r="AC39" s="11" t="str">
        <f t="shared" si="5"/>
        <v>EQUATORIAL</v>
      </c>
      <c r="AD39" s="11" t="s">
        <v>183</v>
      </c>
      <c r="AE39" s="10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7" t="s">
        <v>184</v>
      </c>
      <c r="AQ39" s="100">
        <v>0</v>
      </c>
    </row>
    <row r="40" spans="1:43" hidden="1">
      <c r="A40" s="103">
        <v>44470</v>
      </c>
      <c r="B40" s="47" t="s">
        <v>290</v>
      </c>
      <c r="C40" s="2" t="s">
        <v>290</v>
      </c>
      <c r="D40" s="2" t="s">
        <v>228</v>
      </c>
      <c r="E40" s="4" t="s">
        <v>186</v>
      </c>
      <c r="F40" s="4" t="s">
        <v>283</v>
      </c>
      <c r="G40" s="5">
        <v>44470</v>
      </c>
      <c r="H40" s="31">
        <v>367553.3</v>
      </c>
      <c r="I40" s="31">
        <v>367553.3</v>
      </c>
      <c r="J40" s="52">
        <f t="shared" si="6"/>
        <v>367.55329999999998</v>
      </c>
      <c r="K40" s="12">
        <v>44491</v>
      </c>
      <c r="L40" s="7" t="s">
        <v>175</v>
      </c>
      <c r="M40" s="34" t="s">
        <v>44</v>
      </c>
      <c r="N40" s="7" t="s">
        <v>191</v>
      </c>
      <c r="O40" s="7" t="s">
        <v>284</v>
      </c>
      <c r="P40" s="7" t="s">
        <v>291</v>
      </c>
      <c r="Q40" s="8" t="s">
        <v>179</v>
      </c>
      <c r="R40" s="9">
        <v>37177200</v>
      </c>
      <c r="S40" s="54">
        <f t="shared" si="1"/>
        <v>37177.199999999997</v>
      </c>
      <c r="T40" s="9">
        <v>33459480</v>
      </c>
      <c r="U40" s="54">
        <f t="shared" si="2"/>
        <v>33459.480000000003</v>
      </c>
      <c r="V40" s="10">
        <v>0.9</v>
      </c>
      <c r="W40" s="11" t="s">
        <v>285</v>
      </c>
      <c r="X40" s="9">
        <v>-3793435.53</v>
      </c>
      <c r="Y40" s="9">
        <f t="shared" si="3"/>
        <v>-3793.4355299999997</v>
      </c>
      <c r="Z40" s="10">
        <f>X40/T40</f>
        <v>-0.11337401328412754</v>
      </c>
      <c r="AA40" s="11" t="s">
        <v>292</v>
      </c>
      <c r="AB40" s="66" t="s">
        <v>193</v>
      </c>
      <c r="AC40" s="11" t="str">
        <f t="shared" si="5"/>
        <v>RORAIMA ENERGIA</v>
      </c>
      <c r="AD40" s="11" t="s">
        <v>6</v>
      </c>
      <c r="AE40" s="10">
        <f>SUM(I40+I41+I42+I43+I45+I44+I46+I47)/T40-100%+Z40</f>
        <v>-0.21564356439490395</v>
      </c>
      <c r="AF40" s="9">
        <f>-3421886</f>
        <v>-3421886</v>
      </c>
      <c r="AG40" s="9">
        <f>AF40/1000</f>
        <v>-3421.886</v>
      </c>
      <c r="AH40" s="79">
        <f>AE40*T40</f>
        <v>-7215321.5300000012</v>
      </c>
      <c r="AI40" s="9">
        <f>AH40/1000</f>
        <v>-7215.3215300000011</v>
      </c>
      <c r="AJ40" s="9">
        <f>AK40*1000</f>
        <v>33797460</v>
      </c>
      <c r="AK40" s="9">
        <v>33797.46</v>
      </c>
      <c r="AL40" s="9">
        <v>0.90900000000000003</v>
      </c>
      <c r="AM40" s="9">
        <f>AN40*1000</f>
        <v>3379740</v>
      </c>
      <c r="AN40" s="9">
        <v>3379.74</v>
      </c>
      <c r="AO40" s="9">
        <v>9.0999999999999998E-2</v>
      </c>
      <c r="AP40" s="97" t="s">
        <v>293</v>
      </c>
      <c r="AQ40" s="100">
        <v>0.99690000000000001</v>
      </c>
    </row>
    <row r="41" spans="1:43" hidden="1">
      <c r="A41" s="103">
        <v>44470</v>
      </c>
      <c r="B41" s="47" t="s">
        <v>290</v>
      </c>
      <c r="C41" s="2" t="s">
        <v>290</v>
      </c>
      <c r="D41" s="2" t="s">
        <v>294</v>
      </c>
      <c r="E41" s="4" t="s">
        <v>295</v>
      </c>
      <c r="F41" s="4" t="s">
        <v>283</v>
      </c>
      <c r="G41" s="5">
        <v>44470</v>
      </c>
      <c r="H41" s="31">
        <v>9556383.6999999993</v>
      </c>
      <c r="I41" s="31">
        <v>9556383.6999999993</v>
      </c>
      <c r="J41" s="52">
        <f t="shared" si="6"/>
        <v>9556.3836999999985</v>
      </c>
      <c r="K41" s="12">
        <v>44476</v>
      </c>
      <c r="L41" s="7" t="s">
        <v>175</v>
      </c>
      <c r="M41" s="34" t="s">
        <v>44</v>
      </c>
      <c r="N41" s="7" t="s">
        <v>191</v>
      </c>
      <c r="O41" s="7" t="s">
        <v>284</v>
      </c>
      <c r="P41" s="7" t="s">
        <v>291</v>
      </c>
      <c r="Q41" s="8" t="s">
        <v>179</v>
      </c>
      <c r="R41" s="9">
        <v>0</v>
      </c>
      <c r="S41" s="54">
        <f t="shared" si="1"/>
        <v>0</v>
      </c>
      <c r="T41" s="9">
        <v>0</v>
      </c>
      <c r="U41" s="54">
        <f t="shared" si="2"/>
        <v>0</v>
      </c>
      <c r="V41" s="11">
        <v>0</v>
      </c>
      <c r="W41" s="11" t="s">
        <v>285</v>
      </c>
      <c r="X41" s="9">
        <v>0</v>
      </c>
      <c r="Y41" s="9">
        <f t="shared" si="3"/>
        <v>0</v>
      </c>
      <c r="Z41" s="11">
        <v>0</v>
      </c>
      <c r="AA41" s="11" t="s">
        <v>292</v>
      </c>
      <c r="AB41" s="66" t="s">
        <v>193</v>
      </c>
      <c r="AC41" s="11" t="str">
        <f t="shared" si="5"/>
        <v>RORAIMA ENERGIA</v>
      </c>
      <c r="AD41" s="11" t="s">
        <v>6</v>
      </c>
      <c r="AE41" s="10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7" t="s">
        <v>184</v>
      </c>
      <c r="AQ41" s="100">
        <v>0</v>
      </c>
    </row>
    <row r="42" spans="1:43" hidden="1">
      <c r="A42" s="103">
        <v>44986</v>
      </c>
      <c r="B42" s="47" t="s">
        <v>290</v>
      </c>
      <c r="C42" s="2" t="s">
        <v>290</v>
      </c>
      <c r="D42" s="2" t="s">
        <v>228</v>
      </c>
      <c r="E42" s="4" t="s">
        <v>186</v>
      </c>
      <c r="F42" s="4" t="s">
        <v>283</v>
      </c>
      <c r="G42" s="5">
        <v>44986</v>
      </c>
      <c r="H42" s="31">
        <v>4218.7</v>
      </c>
      <c r="I42" s="31">
        <v>4218.7</v>
      </c>
      <c r="J42" s="52">
        <f t="shared" si="6"/>
        <v>4.2187000000000001</v>
      </c>
      <c r="K42" s="12">
        <v>44986</v>
      </c>
      <c r="L42" s="7" t="s">
        <v>175</v>
      </c>
      <c r="M42" s="34" t="s">
        <v>44</v>
      </c>
      <c r="N42" s="7" t="s">
        <v>191</v>
      </c>
      <c r="O42" s="7" t="s">
        <v>284</v>
      </c>
      <c r="P42" s="7" t="s">
        <v>291</v>
      </c>
      <c r="Q42" s="8" t="s">
        <v>179</v>
      </c>
      <c r="R42" s="9">
        <v>0</v>
      </c>
      <c r="S42" s="54">
        <f t="shared" si="1"/>
        <v>0</v>
      </c>
      <c r="T42" s="9">
        <v>0</v>
      </c>
      <c r="U42" s="54">
        <f t="shared" si="2"/>
        <v>0</v>
      </c>
      <c r="V42" s="11">
        <v>0</v>
      </c>
      <c r="W42" s="11" t="s">
        <v>285</v>
      </c>
      <c r="X42" s="9">
        <v>0</v>
      </c>
      <c r="Y42" s="9">
        <f t="shared" si="3"/>
        <v>0</v>
      </c>
      <c r="Z42" s="11">
        <v>0</v>
      </c>
      <c r="AA42" s="11" t="s">
        <v>292</v>
      </c>
      <c r="AB42" s="66" t="s">
        <v>193</v>
      </c>
      <c r="AC42" s="11" t="str">
        <f t="shared" si="5"/>
        <v>RORAIMA ENERGIA</v>
      </c>
      <c r="AD42" s="11" t="s">
        <v>6</v>
      </c>
      <c r="AE42" s="10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7" t="s">
        <v>184</v>
      </c>
      <c r="AQ42" s="100">
        <v>0</v>
      </c>
    </row>
    <row r="43" spans="1:43" hidden="1">
      <c r="A43" s="103">
        <v>44986</v>
      </c>
      <c r="B43" s="47" t="s">
        <v>290</v>
      </c>
      <c r="C43" s="2" t="s">
        <v>290</v>
      </c>
      <c r="D43" s="2" t="s">
        <v>294</v>
      </c>
      <c r="E43" s="4" t="s">
        <v>295</v>
      </c>
      <c r="F43" s="4" t="s">
        <v>283</v>
      </c>
      <c r="G43" s="5">
        <v>44986</v>
      </c>
      <c r="H43" s="31">
        <v>109688.3</v>
      </c>
      <c r="I43" s="31">
        <v>109688.3</v>
      </c>
      <c r="J43" s="52">
        <f t="shared" si="6"/>
        <v>109.6883</v>
      </c>
      <c r="K43" s="12">
        <v>44986</v>
      </c>
      <c r="L43" s="7" t="s">
        <v>175</v>
      </c>
      <c r="M43" s="34" t="s">
        <v>44</v>
      </c>
      <c r="N43" s="7" t="s">
        <v>191</v>
      </c>
      <c r="O43" s="7" t="s">
        <v>284</v>
      </c>
      <c r="P43" s="7" t="s">
        <v>291</v>
      </c>
      <c r="Q43" s="8" t="s">
        <v>179</v>
      </c>
      <c r="R43" s="9">
        <v>0</v>
      </c>
      <c r="S43" s="54">
        <f t="shared" si="1"/>
        <v>0</v>
      </c>
      <c r="T43" s="9">
        <v>0</v>
      </c>
      <c r="U43" s="54">
        <f t="shared" si="2"/>
        <v>0</v>
      </c>
      <c r="V43" s="11">
        <v>0</v>
      </c>
      <c r="W43" s="11" t="s">
        <v>285</v>
      </c>
      <c r="X43" s="9">
        <v>0</v>
      </c>
      <c r="Y43" s="9">
        <f t="shared" si="3"/>
        <v>0</v>
      </c>
      <c r="Z43" s="11">
        <v>0</v>
      </c>
      <c r="AA43" s="11" t="s">
        <v>292</v>
      </c>
      <c r="AB43" s="66" t="s">
        <v>193</v>
      </c>
      <c r="AC43" s="11" t="str">
        <f t="shared" si="5"/>
        <v>RORAIMA ENERGIA</v>
      </c>
      <c r="AD43" s="11" t="s">
        <v>6</v>
      </c>
      <c r="AE43" s="10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7" t="s">
        <v>184</v>
      </c>
      <c r="AQ43" s="100">
        <v>0</v>
      </c>
    </row>
    <row r="44" spans="1:43" hidden="1">
      <c r="A44" s="103">
        <v>45231</v>
      </c>
      <c r="B44" s="47" t="s">
        <v>290</v>
      </c>
      <c r="C44" s="2" t="s">
        <v>290</v>
      </c>
      <c r="D44" s="2" t="s">
        <v>294</v>
      </c>
      <c r="E44" s="4" t="s">
        <v>295</v>
      </c>
      <c r="F44" s="4" t="s">
        <v>283</v>
      </c>
      <c r="G44" s="5">
        <v>45260</v>
      </c>
      <c r="H44" s="31">
        <v>6615958</v>
      </c>
      <c r="I44" s="31">
        <v>6615958</v>
      </c>
      <c r="J44" s="52">
        <f t="shared" si="6"/>
        <v>6615.9579999999996</v>
      </c>
      <c r="K44" s="12">
        <v>45260</v>
      </c>
      <c r="L44" s="7" t="s">
        <v>175</v>
      </c>
      <c r="M44" s="34" t="s">
        <v>44</v>
      </c>
      <c r="N44" s="7" t="s">
        <v>191</v>
      </c>
      <c r="O44" s="7" t="s">
        <v>296</v>
      </c>
      <c r="P44" s="7" t="s">
        <v>291</v>
      </c>
      <c r="Q44" s="8" t="s">
        <v>179</v>
      </c>
      <c r="R44" s="9">
        <v>0</v>
      </c>
      <c r="S44" s="54">
        <f t="shared" si="1"/>
        <v>0</v>
      </c>
      <c r="T44" s="9">
        <v>0</v>
      </c>
      <c r="U44" s="54">
        <f t="shared" si="2"/>
        <v>0</v>
      </c>
      <c r="V44" s="11">
        <v>0</v>
      </c>
      <c r="W44" s="11" t="s">
        <v>285</v>
      </c>
      <c r="X44" s="9">
        <v>0</v>
      </c>
      <c r="Y44" s="9">
        <f t="shared" si="3"/>
        <v>0</v>
      </c>
      <c r="Z44" s="11">
        <v>0</v>
      </c>
      <c r="AA44" s="11" t="s">
        <v>292</v>
      </c>
      <c r="AB44" s="66" t="s">
        <v>193</v>
      </c>
      <c r="AC44" s="11" t="str">
        <f t="shared" si="5"/>
        <v>RORAIMA ENERGIA</v>
      </c>
      <c r="AD44" s="11" t="s">
        <v>6</v>
      </c>
      <c r="AE44" s="10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7" t="s">
        <v>184</v>
      </c>
      <c r="AQ44" s="100">
        <v>0</v>
      </c>
    </row>
    <row r="45" spans="1:43" hidden="1">
      <c r="A45" s="103">
        <v>45778</v>
      </c>
      <c r="B45" s="47" t="s">
        <v>290</v>
      </c>
      <c r="C45" s="2" t="s">
        <v>290</v>
      </c>
      <c r="D45" s="2" t="s">
        <v>294</v>
      </c>
      <c r="E45" s="4" t="s">
        <v>295</v>
      </c>
      <c r="F45" s="4" t="s">
        <v>283</v>
      </c>
      <c r="G45" s="5">
        <v>45778</v>
      </c>
      <c r="H45" s="31">
        <v>5018922</v>
      </c>
      <c r="I45" s="31">
        <v>5018922</v>
      </c>
      <c r="J45" s="52">
        <f t="shared" si="6"/>
        <v>5018.9219999999996</v>
      </c>
      <c r="K45" s="12">
        <v>45800</v>
      </c>
      <c r="L45" s="7" t="s">
        <v>175</v>
      </c>
      <c r="M45" s="34" t="s">
        <v>44</v>
      </c>
      <c r="N45" s="7" t="s">
        <v>191</v>
      </c>
      <c r="O45" s="7" t="s">
        <v>296</v>
      </c>
      <c r="P45" s="7" t="s">
        <v>291</v>
      </c>
      <c r="Q45" s="8" t="s">
        <v>179</v>
      </c>
      <c r="R45" s="9">
        <v>0</v>
      </c>
      <c r="S45" s="54">
        <f t="shared" si="1"/>
        <v>0</v>
      </c>
      <c r="T45" s="9">
        <v>0</v>
      </c>
      <c r="U45" s="54">
        <f t="shared" si="2"/>
        <v>0</v>
      </c>
      <c r="V45" s="10">
        <v>0</v>
      </c>
      <c r="W45" s="11" t="s">
        <v>285</v>
      </c>
      <c r="X45" s="9">
        <v>0</v>
      </c>
      <c r="Y45" s="9">
        <f t="shared" si="3"/>
        <v>0</v>
      </c>
      <c r="Z45" s="11">
        <v>0</v>
      </c>
      <c r="AA45" s="11" t="s">
        <v>292</v>
      </c>
      <c r="AB45" s="66" t="s">
        <v>193</v>
      </c>
      <c r="AC45" s="11" t="str">
        <f t="shared" si="5"/>
        <v>RORAIMA ENERGIA</v>
      </c>
      <c r="AD45" s="11" t="s">
        <v>6</v>
      </c>
      <c r="AE45" s="10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7" t="s">
        <v>184</v>
      </c>
      <c r="AQ45" s="100">
        <v>0</v>
      </c>
    </row>
    <row r="46" spans="1:43" hidden="1">
      <c r="A46" s="103">
        <v>45778</v>
      </c>
      <c r="B46" s="47" t="s">
        <v>290</v>
      </c>
      <c r="C46" s="2" t="s">
        <v>290</v>
      </c>
      <c r="D46" s="2" t="s">
        <v>294</v>
      </c>
      <c r="E46" s="4" t="s">
        <v>295</v>
      </c>
      <c r="F46" s="4" t="s">
        <v>283</v>
      </c>
      <c r="G46" s="5">
        <v>45778</v>
      </c>
      <c r="H46" s="31">
        <v>5018922</v>
      </c>
      <c r="I46" s="31">
        <v>5018922</v>
      </c>
      <c r="J46" s="52">
        <f t="shared" si="6"/>
        <v>5018.9219999999996</v>
      </c>
      <c r="K46" s="12">
        <v>45800</v>
      </c>
      <c r="L46" s="7" t="s">
        <v>175</v>
      </c>
      <c r="M46" s="34" t="s">
        <v>44</v>
      </c>
      <c r="N46" s="7" t="s">
        <v>191</v>
      </c>
      <c r="O46" s="7" t="s">
        <v>289</v>
      </c>
      <c r="P46" s="7" t="s">
        <v>291</v>
      </c>
      <c r="Q46" s="8" t="s">
        <v>179</v>
      </c>
      <c r="R46" s="9">
        <v>0</v>
      </c>
      <c r="S46" s="54">
        <f t="shared" si="1"/>
        <v>0</v>
      </c>
      <c r="T46" s="9">
        <v>0</v>
      </c>
      <c r="U46" s="54">
        <f t="shared" si="2"/>
        <v>0</v>
      </c>
      <c r="V46" s="10">
        <v>0</v>
      </c>
      <c r="W46" s="11" t="s">
        <v>285</v>
      </c>
      <c r="X46" s="9">
        <v>0</v>
      </c>
      <c r="Y46" s="9">
        <f t="shared" si="3"/>
        <v>0</v>
      </c>
      <c r="Z46" s="11">
        <v>0</v>
      </c>
      <c r="AA46" s="11" t="s">
        <v>292</v>
      </c>
      <c r="AB46" s="66" t="s">
        <v>193</v>
      </c>
      <c r="AC46" s="11" t="str">
        <f t="shared" si="5"/>
        <v>RORAIMA ENERGIA</v>
      </c>
      <c r="AD46" s="11" t="s">
        <v>6</v>
      </c>
      <c r="AE46" s="10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7" t="s">
        <v>184</v>
      </c>
      <c r="AQ46" s="100">
        <v>0</v>
      </c>
    </row>
    <row r="47" spans="1:43" hidden="1">
      <c r="A47" s="103">
        <v>45778</v>
      </c>
      <c r="B47" s="47" t="s">
        <v>290</v>
      </c>
      <c r="C47" s="2" t="s">
        <v>290</v>
      </c>
      <c r="D47" s="2" t="s">
        <v>294</v>
      </c>
      <c r="E47" s="4" t="s">
        <v>295</v>
      </c>
      <c r="F47" s="4" t="s">
        <v>283</v>
      </c>
      <c r="G47" s="5">
        <v>45778</v>
      </c>
      <c r="H47" s="31">
        <v>3345948</v>
      </c>
      <c r="I47" s="31">
        <v>3345948</v>
      </c>
      <c r="J47" s="52">
        <f t="shared" si="6"/>
        <v>3345.9479999999999</v>
      </c>
      <c r="K47" s="12">
        <v>45800</v>
      </c>
      <c r="L47" s="7" t="s">
        <v>175</v>
      </c>
      <c r="M47" s="34" t="s">
        <v>44</v>
      </c>
      <c r="N47" s="7" t="s">
        <v>191</v>
      </c>
      <c r="O47" s="7" t="s">
        <v>297</v>
      </c>
      <c r="P47" s="7" t="s">
        <v>291</v>
      </c>
      <c r="Q47" s="8" t="s">
        <v>179</v>
      </c>
      <c r="R47" s="9">
        <v>0</v>
      </c>
      <c r="S47" s="54">
        <f t="shared" si="1"/>
        <v>0</v>
      </c>
      <c r="T47" s="9">
        <v>0</v>
      </c>
      <c r="U47" s="54">
        <f t="shared" si="2"/>
        <v>0</v>
      </c>
      <c r="V47" s="10">
        <v>0</v>
      </c>
      <c r="W47" s="11" t="s">
        <v>285</v>
      </c>
      <c r="X47" s="9">
        <v>0</v>
      </c>
      <c r="Y47" s="9">
        <f t="shared" si="3"/>
        <v>0</v>
      </c>
      <c r="Z47" s="11">
        <v>0</v>
      </c>
      <c r="AA47" s="11" t="s">
        <v>292</v>
      </c>
      <c r="AB47" s="66" t="s">
        <v>193</v>
      </c>
      <c r="AC47" s="11" t="str">
        <f t="shared" si="5"/>
        <v>RORAIMA ENERGIA</v>
      </c>
      <c r="AD47" s="11" t="s">
        <v>6</v>
      </c>
      <c r="AE47" s="10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7" t="s">
        <v>184</v>
      </c>
      <c r="AQ47" s="100">
        <v>0</v>
      </c>
    </row>
    <row r="48" spans="1:43" hidden="1">
      <c r="A48" s="103">
        <v>44562</v>
      </c>
      <c r="B48" s="47" t="s">
        <v>187</v>
      </c>
      <c r="C48" s="2" t="s">
        <v>278</v>
      </c>
      <c r="D48" s="2" t="s">
        <v>228</v>
      </c>
      <c r="E48" s="4" t="s">
        <v>186</v>
      </c>
      <c r="F48" s="4" t="s">
        <v>283</v>
      </c>
      <c r="G48" s="5">
        <v>44562</v>
      </c>
      <c r="H48" s="31">
        <v>632509.19999999995</v>
      </c>
      <c r="I48" s="31">
        <v>632509.19999999995</v>
      </c>
      <c r="J48" s="52">
        <f t="shared" si="6"/>
        <v>632.50919999999996</v>
      </c>
      <c r="K48" s="12">
        <v>44592</v>
      </c>
      <c r="L48" s="7" t="s">
        <v>175</v>
      </c>
      <c r="M48" s="34" t="s">
        <v>85</v>
      </c>
      <c r="N48" s="7" t="s">
        <v>191</v>
      </c>
      <c r="O48" s="7" t="s">
        <v>298</v>
      </c>
      <c r="P48" s="7" t="s">
        <v>281</v>
      </c>
      <c r="Q48" s="8" t="s">
        <v>179</v>
      </c>
      <c r="R48" s="9">
        <v>59603860</v>
      </c>
      <c r="S48" s="54">
        <f t="shared" si="1"/>
        <v>59603.86</v>
      </c>
      <c r="T48" s="9">
        <v>41722700</v>
      </c>
      <c r="U48" s="54">
        <f t="shared" si="2"/>
        <v>41722.699999999997</v>
      </c>
      <c r="V48" s="10">
        <v>0.69999996644512619</v>
      </c>
      <c r="W48" s="11" t="s">
        <v>285</v>
      </c>
      <c r="X48" s="9">
        <v>0</v>
      </c>
      <c r="Y48" s="9">
        <f t="shared" si="3"/>
        <v>0</v>
      </c>
      <c r="Z48" s="11">
        <v>0</v>
      </c>
      <c r="AA48" s="11" t="s">
        <v>292</v>
      </c>
      <c r="AB48" s="66" t="s">
        <v>193</v>
      </c>
      <c r="AC48" s="11" t="str">
        <f t="shared" si="5"/>
        <v>EQUATORIAL</v>
      </c>
      <c r="AD48" s="11" t="s">
        <v>6</v>
      </c>
      <c r="AE48" s="10">
        <v>0</v>
      </c>
      <c r="AF48" s="9">
        <v>0</v>
      </c>
      <c r="AG48" s="9">
        <v>0</v>
      </c>
      <c r="AH48" s="9">
        <v>0</v>
      </c>
      <c r="AI48" s="9">
        <v>0</v>
      </c>
      <c r="AJ48" s="9">
        <f>AK48*1000</f>
        <v>54185330</v>
      </c>
      <c r="AK48" s="9">
        <v>54185.33</v>
      </c>
      <c r="AL48" s="9">
        <v>0.90900000000000003</v>
      </c>
      <c r="AM48" s="9">
        <f>AN48*1000</f>
        <v>5418530</v>
      </c>
      <c r="AN48" s="9">
        <v>5418.53</v>
      </c>
      <c r="AO48" s="9">
        <v>9.0999999999999998E-2</v>
      </c>
      <c r="AP48" s="97" t="s">
        <v>299</v>
      </c>
      <c r="AQ48" s="100">
        <v>0.99019999999999997</v>
      </c>
    </row>
    <row r="49" spans="1:43" hidden="1">
      <c r="A49" s="103">
        <v>44562</v>
      </c>
      <c r="B49" s="47" t="s">
        <v>187</v>
      </c>
      <c r="C49" s="2" t="s">
        <v>278</v>
      </c>
      <c r="D49" s="2" t="s">
        <v>279</v>
      </c>
      <c r="E49" s="4" t="s">
        <v>280</v>
      </c>
      <c r="F49" s="4" t="s">
        <v>283</v>
      </c>
      <c r="G49" s="5">
        <v>44562</v>
      </c>
      <c r="H49" s="31">
        <v>12650182.800000001</v>
      </c>
      <c r="I49" s="31">
        <v>12650182.800000001</v>
      </c>
      <c r="J49" s="52">
        <f t="shared" si="6"/>
        <v>12650.1828</v>
      </c>
      <c r="K49" s="12">
        <v>44592</v>
      </c>
      <c r="L49" s="7" t="s">
        <v>175</v>
      </c>
      <c r="M49" s="34" t="s">
        <v>85</v>
      </c>
      <c r="N49" s="7" t="s">
        <v>191</v>
      </c>
      <c r="O49" s="7" t="s">
        <v>298</v>
      </c>
      <c r="P49" s="7" t="s">
        <v>281</v>
      </c>
      <c r="Q49" s="8" t="s">
        <v>179</v>
      </c>
      <c r="R49" s="9">
        <v>0</v>
      </c>
      <c r="S49" s="54">
        <f t="shared" si="1"/>
        <v>0</v>
      </c>
      <c r="T49" s="9">
        <v>0</v>
      </c>
      <c r="U49" s="54">
        <f t="shared" si="2"/>
        <v>0</v>
      </c>
      <c r="V49" s="11">
        <v>0</v>
      </c>
      <c r="W49" s="11" t="s">
        <v>285</v>
      </c>
      <c r="X49" s="9">
        <v>0</v>
      </c>
      <c r="Y49" s="9">
        <f t="shared" si="3"/>
        <v>0</v>
      </c>
      <c r="Z49" s="11">
        <v>0</v>
      </c>
      <c r="AA49" s="11" t="s">
        <v>292</v>
      </c>
      <c r="AB49" s="66" t="s">
        <v>193</v>
      </c>
      <c r="AC49" s="11" t="str">
        <f t="shared" si="5"/>
        <v>EQUATORIAL</v>
      </c>
      <c r="AD49" s="11" t="s">
        <v>6</v>
      </c>
      <c r="AE49" s="10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7" t="s">
        <v>184</v>
      </c>
      <c r="AQ49" s="100">
        <v>0</v>
      </c>
    </row>
    <row r="50" spans="1:43" hidden="1">
      <c r="A50" s="103">
        <v>45200</v>
      </c>
      <c r="B50" s="47" t="s">
        <v>187</v>
      </c>
      <c r="C50" s="2" t="s">
        <v>278</v>
      </c>
      <c r="D50" s="2" t="s">
        <v>279</v>
      </c>
      <c r="E50" s="4" t="s">
        <v>280</v>
      </c>
      <c r="F50" s="4" t="s">
        <v>283</v>
      </c>
      <c r="G50" s="5">
        <v>45201</v>
      </c>
      <c r="H50" s="31">
        <v>7578678.1200000001</v>
      </c>
      <c r="I50" s="31">
        <v>7578678.1200000001</v>
      </c>
      <c r="J50" s="52">
        <f t="shared" si="6"/>
        <v>7578.6781200000005</v>
      </c>
      <c r="K50" s="12">
        <v>45219</v>
      </c>
      <c r="L50" s="7" t="s">
        <v>175</v>
      </c>
      <c r="M50" s="34" t="s">
        <v>85</v>
      </c>
      <c r="N50" s="7" t="s">
        <v>191</v>
      </c>
      <c r="O50" s="7" t="s">
        <v>287</v>
      </c>
      <c r="P50" s="7" t="s">
        <v>281</v>
      </c>
      <c r="Q50" s="8" t="s">
        <v>179</v>
      </c>
      <c r="R50" s="9">
        <v>0</v>
      </c>
      <c r="S50" s="54">
        <f t="shared" si="1"/>
        <v>0</v>
      </c>
      <c r="T50" s="9">
        <v>0</v>
      </c>
      <c r="U50" s="54">
        <f t="shared" si="2"/>
        <v>0</v>
      </c>
      <c r="V50" s="11">
        <v>0</v>
      </c>
      <c r="W50" s="11" t="s">
        <v>285</v>
      </c>
      <c r="X50" s="9">
        <v>0</v>
      </c>
      <c r="Y50" s="9">
        <f t="shared" si="3"/>
        <v>0</v>
      </c>
      <c r="Z50" s="11">
        <v>0</v>
      </c>
      <c r="AA50" s="11" t="s">
        <v>292</v>
      </c>
      <c r="AB50" s="66" t="s">
        <v>193</v>
      </c>
      <c r="AC50" s="11" t="str">
        <f t="shared" si="5"/>
        <v>EQUATORIAL</v>
      </c>
      <c r="AD50" s="11" t="s">
        <v>6</v>
      </c>
      <c r="AE50" s="10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7" t="s">
        <v>184</v>
      </c>
      <c r="AQ50" s="100">
        <v>0</v>
      </c>
    </row>
    <row r="51" spans="1:43" hidden="1">
      <c r="A51" s="103">
        <v>45231</v>
      </c>
      <c r="B51" s="47" t="s">
        <v>187</v>
      </c>
      <c r="C51" s="2" t="s">
        <v>278</v>
      </c>
      <c r="D51" s="2" t="s">
        <v>279</v>
      </c>
      <c r="E51" s="4" t="s">
        <v>280</v>
      </c>
      <c r="F51" s="4" t="s">
        <v>283</v>
      </c>
      <c r="G51" s="5">
        <v>45209</v>
      </c>
      <c r="H51" s="31">
        <v>6258384.8799999999</v>
      </c>
      <c r="I51" s="31">
        <v>6258384.8799999999</v>
      </c>
      <c r="J51" s="52">
        <f t="shared" si="6"/>
        <v>6258.3848799999996</v>
      </c>
      <c r="K51" s="12">
        <v>45239</v>
      </c>
      <c r="L51" s="7" t="s">
        <v>175</v>
      </c>
      <c r="M51" s="34" t="s">
        <v>85</v>
      </c>
      <c r="N51" s="7" t="s">
        <v>191</v>
      </c>
      <c r="O51" s="7" t="s">
        <v>296</v>
      </c>
      <c r="P51" s="7" t="s">
        <v>281</v>
      </c>
      <c r="Q51" s="8" t="s">
        <v>179</v>
      </c>
      <c r="R51" s="9">
        <v>0</v>
      </c>
      <c r="S51" s="54">
        <f t="shared" si="1"/>
        <v>0</v>
      </c>
      <c r="T51" s="9">
        <v>0</v>
      </c>
      <c r="U51" s="54">
        <f t="shared" si="2"/>
        <v>0</v>
      </c>
      <c r="V51" s="11">
        <v>0</v>
      </c>
      <c r="W51" s="11" t="s">
        <v>285</v>
      </c>
      <c r="X51" s="9">
        <v>0</v>
      </c>
      <c r="Y51" s="9">
        <f t="shared" si="3"/>
        <v>0</v>
      </c>
      <c r="Z51" s="11">
        <v>0</v>
      </c>
      <c r="AA51" s="11" t="s">
        <v>292</v>
      </c>
      <c r="AB51" s="66" t="s">
        <v>193</v>
      </c>
      <c r="AC51" s="11" t="str">
        <f t="shared" si="5"/>
        <v>EQUATORIAL</v>
      </c>
      <c r="AD51" s="11" t="s">
        <v>6</v>
      </c>
      <c r="AE51" s="10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7" t="s">
        <v>184</v>
      </c>
      <c r="AQ51" s="100">
        <v>0</v>
      </c>
    </row>
    <row r="52" spans="1:43" hidden="1">
      <c r="A52" s="103">
        <v>45261</v>
      </c>
      <c r="B52" s="47" t="s">
        <v>187</v>
      </c>
      <c r="C52" s="2" t="s">
        <v>278</v>
      </c>
      <c r="D52" s="2" t="s">
        <v>279</v>
      </c>
      <c r="E52" s="4" t="s">
        <v>280</v>
      </c>
      <c r="F52" s="4" t="s">
        <v>283</v>
      </c>
      <c r="G52" s="5">
        <v>45231</v>
      </c>
      <c r="H52" s="31">
        <v>6258405</v>
      </c>
      <c r="I52" s="31">
        <v>6258405</v>
      </c>
      <c r="J52" s="52">
        <f t="shared" si="6"/>
        <v>6258.4049999999997</v>
      </c>
      <c r="K52" s="12">
        <v>45268</v>
      </c>
      <c r="L52" s="7" t="s">
        <v>175</v>
      </c>
      <c r="M52" s="34" t="s">
        <v>85</v>
      </c>
      <c r="N52" s="7" t="s">
        <v>191</v>
      </c>
      <c r="O52" s="7" t="s">
        <v>289</v>
      </c>
      <c r="P52" s="7" t="s">
        <v>281</v>
      </c>
      <c r="Q52" s="8" t="s">
        <v>179</v>
      </c>
      <c r="R52" s="9">
        <v>0</v>
      </c>
      <c r="S52" s="54">
        <f t="shared" si="1"/>
        <v>0</v>
      </c>
      <c r="T52" s="9">
        <v>0</v>
      </c>
      <c r="U52" s="54">
        <f t="shared" si="2"/>
        <v>0</v>
      </c>
      <c r="V52" s="11">
        <v>0</v>
      </c>
      <c r="W52" s="11" t="s">
        <v>285</v>
      </c>
      <c r="X52" s="9">
        <v>0</v>
      </c>
      <c r="Y52" s="9">
        <f t="shared" si="3"/>
        <v>0</v>
      </c>
      <c r="Z52" s="11">
        <v>0</v>
      </c>
      <c r="AA52" s="11" t="s">
        <v>292</v>
      </c>
      <c r="AB52" s="66" t="s">
        <v>193</v>
      </c>
      <c r="AC52" s="11" t="str">
        <f t="shared" si="5"/>
        <v>EQUATORIAL</v>
      </c>
      <c r="AD52" s="11" t="s">
        <v>6</v>
      </c>
      <c r="AE52" s="10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7" t="s">
        <v>184</v>
      </c>
      <c r="AQ52" s="100">
        <v>0</v>
      </c>
    </row>
    <row r="53" spans="1:43" hidden="1">
      <c r="A53" s="103">
        <v>45261</v>
      </c>
      <c r="B53" s="47" t="s">
        <v>187</v>
      </c>
      <c r="C53" s="2" t="s">
        <v>278</v>
      </c>
      <c r="D53" s="2" t="s">
        <v>279</v>
      </c>
      <c r="E53" s="4" t="s">
        <v>280</v>
      </c>
      <c r="F53" s="4" t="s">
        <v>283</v>
      </c>
      <c r="G53" s="5">
        <v>45261</v>
      </c>
      <c r="H53" s="31">
        <v>4172270</v>
      </c>
      <c r="I53" s="31">
        <v>4172270</v>
      </c>
      <c r="J53" s="52">
        <f t="shared" si="6"/>
        <v>4172.2700000000004</v>
      </c>
      <c r="K53" s="12">
        <v>45288</v>
      </c>
      <c r="L53" s="7" t="s">
        <v>175</v>
      </c>
      <c r="M53" s="34" t="s">
        <v>85</v>
      </c>
      <c r="N53" s="7" t="s">
        <v>191</v>
      </c>
      <c r="O53" s="7" t="s">
        <v>297</v>
      </c>
      <c r="P53" s="7" t="s">
        <v>281</v>
      </c>
      <c r="Q53" s="8" t="s">
        <v>179</v>
      </c>
      <c r="R53" s="9">
        <v>0</v>
      </c>
      <c r="S53" s="54">
        <f t="shared" si="1"/>
        <v>0</v>
      </c>
      <c r="T53" s="9">
        <v>0</v>
      </c>
      <c r="U53" s="54">
        <f t="shared" si="2"/>
        <v>0</v>
      </c>
      <c r="V53" s="11">
        <v>0</v>
      </c>
      <c r="W53" s="11" t="s">
        <v>285</v>
      </c>
      <c r="X53" s="9">
        <v>0</v>
      </c>
      <c r="Y53" s="9">
        <f t="shared" si="3"/>
        <v>0</v>
      </c>
      <c r="Z53" s="11">
        <v>0</v>
      </c>
      <c r="AA53" s="11" t="s">
        <v>292</v>
      </c>
      <c r="AB53" s="66" t="s">
        <v>193</v>
      </c>
      <c r="AC53" s="11" t="str">
        <f t="shared" si="5"/>
        <v>EQUATORIAL</v>
      </c>
      <c r="AD53" s="11" t="s">
        <v>6</v>
      </c>
      <c r="AE53" s="10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7" t="s">
        <v>184</v>
      </c>
      <c r="AQ53" s="100">
        <v>0</v>
      </c>
    </row>
    <row r="54" spans="1:43" hidden="1">
      <c r="A54" s="103">
        <v>44562</v>
      </c>
      <c r="B54" s="47" t="s">
        <v>252</v>
      </c>
      <c r="C54" s="2" t="s">
        <v>252</v>
      </c>
      <c r="D54" s="2" t="s">
        <v>228</v>
      </c>
      <c r="E54" s="4" t="s">
        <v>186</v>
      </c>
      <c r="F54" s="4" t="s">
        <v>283</v>
      </c>
      <c r="G54" s="5">
        <v>44562</v>
      </c>
      <c r="H54" s="31">
        <v>2096523.8</v>
      </c>
      <c r="I54" s="31">
        <v>2096523.8</v>
      </c>
      <c r="J54" s="52">
        <f t="shared" si="6"/>
        <v>2096.5237999999999</v>
      </c>
      <c r="K54" s="12">
        <v>44581</v>
      </c>
      <c r="L54" s="7" t="s">
        <v>175</v>
      </c>
      <c r="M54" s="34" t="s">
        <v>43</v>
      </c>
      <c r="N54" s="7" t="s">
        <v>176</v>
      </c>
      <c r="O54" s="7" t="s">
        <v>298</v>
      </c>
      <c r="P54" s="7" t="s">
        <v>255</v>
      </c>
      <c r="Q54" s="8" t="s">
        <v>179</v>
      </c>
      <c r="R54" s="9">
        <v>209652380</v>
      </c>
      <c r="S54" s="54">
        <f t="shared" si="1"/>
        <v>209652.38</v>
      </c>
      <c r="T54" s="9">
        <v>188687140</v>
      </c>
      <c r="U54" s="54">
        <f t="shared" si="2"/>
        <v>188687.14</v>
      </c>
      <c r="V54" s="10">
        <v>0.89999999046039925</v>
      </c>
      <c r="W54" s="11" t="s">
        <v>285</v>
      </c>
      <c r="X54" s="9">
        <v>-24736890.989999998</v>
      </c>
      <c r="Y54" s="9">
        <f t="shared" si="3"/>
        <v>-24736.89099</v>
      </c>
      <c r="Z54" s="10">
        <f>X54/T54</f>
        <v>-0.13110003675926191</v>
      </c>
      <c r="AA54" s="11" t="s">
        <v>292</v>
      </c>
      <c r="AB54" s="66" t="s">
        <v>181</v>
      </c>
      <c r="AC54" s="11" t="str">
        <f t="shared" si="5"/>
        <v>AMAZONAS ENERGIA</v>
      </c>
      <c r="AD54" s="11" t="s">
        <v>6</v>
      </c>
      <c r="AE54" s="10">
        <f>SUM(I54+I55+I56+I57+I58+I59)/T54-100%+Z54</f>
        <v>-0.23110003675926188</v>
      </c>
      <c r="AF54" s="9">
        <v>-24736890.989999998</v>
      </c>
      <c r="AG54" s="9">
        <f>AF54/1000</f>
        <v>-24736.89099</v>
      </c>
      <c r="AH54" s="9">
        <f>AE54*T54</f>
        <v>-43605604.989999995</v>
      </c>
      <c r="AI54" s="9">
        <f>AH54/1000</f>
        <v>-43605.604989999993</v>
      </c>
      <c r="AJ54" s="9">
        <f>AK54*1000</f>
        <v>190593070</v>
      </c>
      <c r="AK54" s="9">
        <v>190593.07</v>
      </c>
      <c r="AL54" s="9">
        <v>0.90900000000000003</v>
      </c>
      <c r="AM54" s="9">
        <f>AN54*1000</f>
        <v>19059310</v>
      </c>
      <c r="AN54" s="9">
        <v>19059.310000000001</v>
      </c>
      <c r="AO54" s="9">
        <v>9.0999999999999998E-2</v>
      </c>
      <c r="AP54" s="97" t="s">
        <v>300</v>
      </c>
      <c r="AQ54" s="100">
        <v>1</v>
      </c>
    </row>
    <row r="55" spans="1:43" hidden="1">
      <c r="A55" s="103">
        <v>44562</v>
      </c>
      <c r="B55" s="47" t="s">
        <v>252</v>
      </c>
      <c r="C55" s="2" t="s">
        <v>252</v>
      </c>
      <c r="D55" s="2" t="s">
        <v>253</v>
      </c>
      <c r="E55" s="4" t="s">
        <v>254</v>
      </c>
      <c r="F55" s="4" t="s">
        <v>283</v>
      </c>
      <c r="G55" s="5">
        <v>44562</v>
      </c>
      <c r="H55" s="31">
        <v>54509618.200000003</v>
      </c>
      <c r="I55" s="31">
        <v>54509618.200000003</v>
      </c>
      <c r="J55" s="52">
        <f t="shared" si="6"/>
        <v>54509.618200000004</v>
      </c>
      <c r="K55" s="12">
        <v>44581</v>
      </c>
      <c r="L55" s="7" t="s">
        <v>175</v>
      </c>
      <c r="M55" s="34" t="s">
        <v>43</v>
      </c>
      <c r="N55" s="7" t="s">
        <v>176</v>
      </c>
      <c r="O55" s="7" t="s">
        <v>298</v>
      </c>
      <c r="P55" s="7" t="s">
        <v>255</v>
      </c>
      <c r="Q55" s="8" t="s">
        <v>179</v>
      </c>
      <c r="R55" s="9">
        <v>0</v>
      </c>
      <c r="S55" s="54">
        <f t="shared" si="1"/>
        <v>0</v>
      </c>
      <c r="T55" s="9">
        <v>0</v>
      </c>
      <c r="U55" s="54">
        <f t="shared" si="2"/>
        <v>0</v>
      </c>
      <c r="V55" s="11">
        <v>0</v>
      </c>
      <c r="W55" s="11" t="s">
        <v>285</v>
      </c>
      <c r="X55" s="9">
        <v>0</v>
      </c>
      <c r="Y55" s="9">
        <f t="shared" si="3"/>
        <v>0</v>
      </c>
      <c r="Z55" s="11">
        <v>0</v>
      </c>
      <c r="AA55" s="11" t="s">
        <v>292</v>
      </c>
      <c r="AB55" s="66" t="s">
        <v>181</v>
      </c>
      <c r="AC55" s="11" t="str">
        <f t="shared" si="5"/>
        <v>AMAZONAS ENERGIA</v>
      </c>
      <c r="AD55" s="11" t="s">
        <v>6</v>
      </c>
      <c r="AE55" s="10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7" t="s">
        <v>184</v>
      </c>
      <c r="AQ55" s="100">
        <v>0</v>
      </c>
    </row>
    <row r="56" spans="1:43" hidden="1">
      <c r="A56" s="103">
        <v>45017</v>
      </c>
      <c r="B56" s="47" t="s">
        <v>252</v>
      </c>
      <c r="C56" s="2" t="s">
        <v>252</v>
      </c>
      <c r="D56" s="2" t="s">
        <v>253</v>
      </c>
      <c r="E56" s="4" t="s">
        <v>254</v>
      </c>
      <c r="F56" s="4" t="s">
        <v>283</v>
      </c>
      <c r="G56" s="5">
        <v>45017</v>
      </c>
      <c r="H56" s="31">
        <v>37737428</v>
      </c>
      <c r="I56" s="31">
        <v>37737428</v>
      </c>
      <c r="J56" s="52">
        <f t="shared" si="6"/>
        <v>37737.428</v>
      </c>
      <c r="K56" s="12">
        <v>45044</v>
      </c>
      <c r="L56" s="7" t="s">
        <v>175</v>
      </c>
      <c r="M56" s="34" t="s">
        <v>43</v>
      </c>
      <c r="N56" s="7" t="s">
        <v>176</v>
      </c>
      <c r="O56" s="7" t="s">
        <v>287</v>
      </c>
      <c r="P56" s="7" t="s">
        <v>255</v>
      </c>
      <c r="Q56" s="8" t="s">
        <v>179</v>
      </c>
      <c r="R56" s="9">
        <v>0</v>
      </c>
      <c r="S56" s="54">
        <f t="shared" si="1"/>
        <v>0</v>
      </c>
      <c r="T56" s="9">
        <v>0</v>
      </c>
      <c r="U56" s="54">
        <f t="shared" si="2"/>
        <v>0</v>
      </c>
      <c r="V56" s="11">
        <v>0</v>
      </c>
      <c r="W56" s="11" t="s">
        <v>285</v>
      </c>
      <c r="X56" s="9">
        <v>0</v>
      </c>
      <c r="Y56" s="9">
        <f t="shared" si="3"/>
        <v>0</v>
      </c>
      <c r="Z56" s="11">
        <v>0</v>
      </c>
      <c r="AA56" s="11" t="s">
        <v>292</v>
      </c>
      <c r="AB56" s="66" t="s">
        <v>181</v>
      </c>
      <c r="AC56" s="11" t="str">
        <f t="shared" si="5"/>
        <v>AMAZONAS ENERGIA</v>
      </c>
      <c r="AD56" s="11" t="s">
        <v>6</v>
      </c>
      <c r="AE56" s="10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7" t="s">
        <v>184</v>
      </c>
      <c r="AQ56" s="100">
        <v>0</v>
      </c>
    </row>
    <row r="57" spans="1:43" hidden="1">
      <c r="A57" s="103">
        <v>45047</v>
      </c>
      <c r="B57" s="47" t="s">
        <v>252</v>
      </c>
      <c r="C57" s="2" t="s">
        <v>252</v>
      </c>
      <c r="D57" s="2" t="s">
        <v>253</v>
      </c>
      <c r="E57" s="4" t="s">
        <v>254</v>
      </c>
      <c r="F57" s="4" t="s">
        <v>283</v>
      </c>
      <c r="G57" s="5">
        <v>45047</v>
      </c>
      <c r="H57" s="31">
        <v>28303071</v>
      </c>
      <c r="I57" s="31">
        <v>28303071</v>
      </c>
      <c r="J57" s="52">
        <f t="shared" si="6"/>
        <v>28303.071</v>
      </c>
      <c r="K57" s="12">
        <v>45077</v>
      </c>
      <c r="L57" s="7" t="s">
        <v>175</v>
      </c>
      <c r="M57" s="34" t="s">
        <v>43</v>
      </c>
      <c r="N57" s="7" t="s">
        <v>176</v>
      </c>
      <c r="O57" s="7" t="s">
        <v>288</v>
      </c>
      <c r="P57" s="7" t="s">
        <v>255</v>
      </c>
      <c r="Q57" s="8" t="s">
        <v>179</v>
      </c>
      <c r="R57" s="9">
        <v>0</v>
      </c>
      <c r="S57" s="54">
        <f t="shared" si="1"/>
        <v>0</v>
      </c>
      <c r="T57" s="9">
        <v>0</v>
      </c>
      <c r="U57" s="54">
        <f t="shared" si="2"/>
        <v>0</v>
      </c>
      <c r="V57" s="11">
        <v>0</v>
      </c>
      <c r="W57" s="11" t="s">
        <v>285</v>
      </c>
      <c r="X57" s="9">
        <v>0</v>
      </c>
      <c r="Y57" s="9">
        <f t="shared" si="3"/>
        <v>0</v>
      </c>
      <c r="Z57" s="11">
        <v>0</v>
      </c>
      <c r="AA57" s="11" t="s">
        <v>292</v>
      </c>
      <c r="AB57" s="66" t="s">
        <v>181</v>
      </c>
      <c r="AC57" s="11" t="str">
        <f t="shared" si="5"/>
        <v>AMAZONAS ENERGIA</v>
      </c>
      <c r="AD57" s="11" t="s">
        <v>6</v>
      </c>
      <c r="AE57" s="10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7" t="s">
        <v>184</v>
      </c>
      <c r="AQ57" s="100">
        <v>0</v>
      </c>
    </row>
    <row r="58" spans="1:43" hidden="1">
      <c r="A58" s="103">
        <v>45108</v>
      </c>
      <c r="B58" s="47" t="s">
        <v>252</v>
      </c>
      <c r="C58" s="2" t="s">
        <v>252</v>
      </c>
      <c r="D58" s="2" t="s">
        <v>253</v>
      </c>
      <c r="E58" s="4" t="s">
        <v>254</v>
      </c>
      <c r="F58" s="4" t="s">
        <v>283</v>
      </c>
      <c r="G58" s="5">
        <v>45108</v>
      </c>
      <c r="H58" s="31">
        <v>28303071</v>
      </c>
      <c r="I58" s="31">
        <v>28303071</v>
      </c>
      <c r="J58" s="52">
        <f t="shared" si="6"/>
        <v>28303.071</v>
      </c>
      <c r="K58" s="12">
        <v>45128</v>
      </c>
      <c r="L58" s="7" t="s">
        <v>175</v>
      </c>
      <c r="M58" s="34" t="s">
        <v>43</v>
      </c>
      <c r="N58" s="7" t="s">
        <v>176</v>
      </c>
      <c r="O58" s="7" t="s">
        <v>289</v>
      </c>
      <c r="P58" s="7" t="s">
        <v>255</v>
      </c>
      <c r="Q58" s="8" t="s">
        <v>179</v>
      </c>
      <c r="R58" s="9">
        <v>0</v>
      </c>
      <c r="S58" s="54">
        <f t="shared" si="1"/>
        <v>0</v>
      </c>
      <c r="T58" s="9">
        <v>0</v>
      </c>
      <c r="U58" s="54">
        <f t="shared" si="2"/>
        <v>0</v>
      </c>
      <c r="V58" s="11">
        <v>0</v>
      </c>
      <c r="W58" s="11" t="s">
        <v>285</v>
      </c>
      <c r="X58" s="9">
        <v>0</v>
      </c>
      <c r="Y58" s="9">
        <f t="shared" si="3"/>
        <v>0</v>
      </c>
      <c r="Z58" s="11">
        <v>0</v>
      </c>
      <c r="AA58" s="11" t="s">
        <v>292</v>
      </c>
      <c r="AB58" s="66" t="s">
        <v>181</v>
      </c>
      <c r="AC58" s="11" t="str">
        <f t="shared" si="5"/>
        <v>AMAZONAS ENERGIA</v>
      </c>
      <c r="AD58" s="11" t="s">
        <v>6</v>
      </c>
      <c r="AE58" s="10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7" t="s">
        <v>184</v>
      </c>
      <c r="AQ58" s="100">
        <v>0</v>
      </c>
    </row>
    <row r="59" spans="1:43" hidden="1">
      <c r="A59" s="103">
        <v>45139</v>
      </c>
      <c r="B59" s="47" t="s">
        <v>252</v>
      </c>
      <c r="C59" s="2" t="s">
        <v>252</v>
      </c>
      <c r="D59" s="2" t="s">
        <v>253</v>
      </c>
      <c r="E59" s="4" t="s">
        <v>254</v>
      </c>
      <c r="F59" s="4" t="s">
        <v>283</v>
      </c>
      <c r="G59" s="5">
        <v>45139</v>
      </c>
      <c r="H59" s="31">
        <v>18868714</v>
      </c>
      <c r="I59" s="31">
        <v>18868714</v>
      </c>
      <c r="J59" s="52">
        <f t="shared" si="6"/>
        <v>18868.714</v>
      </c>
      <c r="K59" s="12">
        <v>45163</v>
      </c>
      <c r="L59" s="7" t="s">
        <v>175</v>
      </c>
      <c r="M59" s="34" t="s">
        <v>43</v>
      </c>
      <c r="N59" s="7" t="s">
        <v>176</v>
      </c>
      <c r="O59" s="7" t="s">
        <v>297</v>
      </c>
      <c r="P59" s="7" t="s">
        <v>255</v>
      </c>
      <c r="Q59" s="8" t="s">
        <v>179</v>
      </c>
      <c r="R59" s="9">
        <v>0</v>
      </c>
      <c r="S59" s="54">
        <f t="shared" si="1"/>
        <v>0</v>
      </c>
      <c r="T59" s="9">
        <v>0</v>
      </c>
      <c r="U59" s="54">
        <f t="shared" si="2"/>
        <v>0</v>
      </c>
      <c r="V59" s="11">
        <v>0</v>
      </c>
      <c r="W59" s="11" t="s">
        <v>285</v>
      </c>
      <c r="X59" s="9">
        <v>0</v>
      </c>
      <c r="Y59" s="9">
        <f t="shared" si="3"/>
        <v>0</v>
      </c>
      <c r="Z59" s="11">
        <v>0</v>
      </c>
      <c r="AA59" s="11" t="s">
        <v>292</v>
      </c>
      <c r="AB59" s="66" t="s">
        <v>181</v>
      </c>
      <c r="AC59" s="11" t="str">
        <f t="shared" si="5"/>
        <v>AMAZONAS ENERGIA</v>
      </c>
      <c r="AD59" s="11" t="s">
        <v>6</v>
      </c>
      <c r="AE59" s="10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7" t="s">
        <v>184</v>
      </c>
      <c r="AQ59" s="100">
        <v>0</v>
      </c>
    </row>
    <row r="60" spans="1:43" hidden="1">
      <c r="A60" s="103">
        <v>44621</v>
      </c>
      <c r="B60" s="47" t="s">
        <v>198</v>
      </c>
      <c r="C60" s="2" t="s">
        <v>205</v>
      </c>
      <c r="D60" s="2" t="s">
        <v>228</v>
      </c>
      <c r="E60" s="4" t="s">
        <v>186</v>
      </c>
      <c r="F60" s="4" t="s">
        <v>283</v>
      </c>
      <c r="G60" s="5">
        <v>44621</v>
      </c>
      <c r="H60" s="31">
        <v>329045.5</v>
      </c>
      <c r="I60" s="31">
        <v>329045.5</v>
      </c>
      <c r="J60" s="52">
        <f t="shared" si="6"/>
        <v>329.0455</v>
      </c>
      <c r="K60" s="12">
        <v>44638</v>
      </c>
      <c r="L60" s="7" t="s">
        <v>175</v>
      </c>
      <c r="M60" s="34" t="s">
        <v>86</v>
      </c>
      <c r="N60" s="7" t="s">
        <v>191</v>
      </c>
      <c r="O60" s="7" t="s">
        <v>298</v>
      </c>
      <c r="P60" s="7" t="s">
        <v>209</v>
      </c>
      <c r="Q60" s="8" t="s">
        <v>179</v>
      </c>
      <c r="R60" s="9">
        <v>31629920</v>
      </c>
      <c r="S60" s="54">
        <f t="shared" si="1"/>
        <v>31629.919999999998</v>
      </c>
      <c r="T60" s="9">
        <v>28466920</v>
      </c>
      <c r="U60" s="54">
        <f t="shared" si="2"/>
        <v>28466.92</v>
      </c>
      <c r="V60" s="10">
        <v>0.89999974707492147</v>
      </c>
      <c r="W60" s="11" t="s">
        <v>285</v>
      </c>
      <c r="X60" s="9">
        <v>-1060513.8899999999</v>
      </c>
      <c r="Y60" s="9">
        <f t="shared" si="3"/>
        <v>-1060.5138899999999</v>
      </c>
      <c r="Z60" s="10">
        <f>X60/T60</f>
        <v>-3.7254254763072363E-2</v>
      </c>
      <c r="AA60" s="11" t="s">
        <v>282</v>
      </c>
      <c r="AB60" s="66" t="s">
        <v>193</v>
      </c>
      <c r="AC60" s="11" t="str">
        <f t="shared" si="5"/>
        <v>ENERGISA</v>
      </c>
      <c r="AD60" s="11" t="s">
        <v>183</v>
      </c>
      <c r="AE60" s="10">
        <f>Z60</f>
        <v>-3.7254254763072363E-2</v>
      </c>
      <c r="AF60" s="9">
        <f>X60</f>
        <v>-1060513.8899999999</v>
      </c>
      <c r="AG60" s="9">
        <f>AF60/1000</f>
        <v>-1060.5138899999999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7" t="s">
        <v>184</v>
      </c>
      <c r="AQ60" s="100">
        <v>0</v>
      </c>
    </row>
    <row r="61" spans="1:43" hidden="1">
      <c r="A61" s="103">
        <v>44621</v>
      </c>
      <c r="B61" s="47" t="s">
        <v>198</v>
      </c>
      <c r="C61" s="2" t="s">
        <v>205</v>
      </c>
      <c r="D61" s="2" t="s">
        <v>206</v>
      </c>
      <c r="E61" s="4" t="s">
        <v>207</v>
      </c>
      <c r="F61" s="4" t="s">
        <v>283</v>
      </c>
      <c r="G61" s="5">
        <v>44621</v>
      </c>
      <c r="H61" s="31">
        <v>8555184.5</v>
      </c>
      <c r="I61" s="31">
        <v>8555184.5</v>
      </c>
      <c r="J61" s="52">
        <f t="shared" si="6"/>
        <v>8555.1844999999994</v>
      </c>
      <c r="K61" s="12">
        <v>44638</v>
      </c>
      <c r="L61" s="7" t="s">
        <v>175</v>
      </c>
      <c r="M61" s="34" t="s">
        <v>86</v>
      </c>
      <c r="N61" s="7" t="s">
        <v>191</v>
      </c>
      <c r="O61" s="7" t="s">
        <v>298</v>
      </c>
      <c r="P61" s="7" t="s">
        <v>209</v>
      </c>
      <c r="Q61" s="8" t="s">
        <v>179</v>
      </c>
      <c r="R61" s="9">
        <v>0</v>
      </c>
      <c r="S61" s="54">
        <f t="shared" si="1"/>
        <v>0</v>
      </c>
      <c r="T61" s="9">
        <v>0</v>
      </c>
      <c r="U61" s="54">
        <f t="shared" si="2"/>
        <v>0</v>
      </c>
      <c r="V61" s="11">
        <v>0</v>
      </c>
      <c r="W61" s="11" t="s">
        <v>285</v>
      </c>
      <c r="X61" s="9">
        <v>0</v>
      </c>
      <c r="Y61" s="9">
        <f t="shared" si="3"/>
        <v>0</v>
      </c>
      <c r="Z61" s="11">
        <v>0</v>
      </c>
      <c r="AA61" s="11" t="s">
        <v>282</v>
      </c>
      <c r="AB61" s="66" t="s">
        <v>193</v>
      </c>
      <c r="AC61" s="11" t="str">
        <f t="shared" si="5"/>
        <v>ENERGISA</v>
      </c>
      <c r="AD61" s="11" t="s">
        <v>183</v>
      </c>
      <c r="AE61" s="10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7" t="s">
        <v>184</v>
      </c>
      <c r="AQ61" s="100">
        <v>0</v>
      </c>
    </row>
    <row r="62" spans="1:43" hidden="1">
      <c r="A62" s="103">
        <v>44805</v>
      </c>
      <c r="B62" s="47" t="s">
        <v>198</v>
      </c>
      <c r="C62" s="2" t="s">
        <v>205</v>
      </c>
      <c r="D62" s="2" t="s">
        <v>206</v>
      </c>
      <c r="E62" s="4" t="s">
        <v>207</v>
      </c>
      <c r="F62" s="4" t="s">
        <v>283</v>
      </c>
      <c r="G62" s="5">
        <v>44805</v>
      </c>
      <c r="H62" s="31">
        <v>5922820</v>
      </c>
      <c r="I62" s="31">
        <v>5922820</v>
      </c>
      <c r="J62" s="52">
        <f t="shared" si="6"/>
        <v>5922.82</v>
      </c>
      <c r="K62" s="12">
        <v>44830</v>
      </c>
      <c r="L62" s="7" t="s">
        <v>175</v>
      </c>
      <c r="M62" s="34" t="s">
        <v>86</v>
      </c>
      <c r="N62" s="7" t="s">
        <v>191</v>
      </c>
      <c r="O62" s="7" t="s">
        <v>287</v>
      </c>
      <c r="P62" s="7" t="s">
        <v>209</v>
      </c>
      <c r="Q62" s="8" t="s">
        <v>179</v>
      </c>
      <c r="R62" s="9">
        <v>0</v>
      </c>
      <c r="S62" s="54">
        <f t="shared" si="1"/>
        <v>0</v>
      </c>
      <c r="T62" s="9">
        <v>0</v>
      </c>
      <c r="U62" s="54">
        <f t="shared" si="2"/>
        <v>0</v>
      </c>
      <c r="V62" s="11">
        <v>0</v>
      </c>
      <c r="W62" s="11" t="s">
        <v>285</v>
      </c>
      <c r="X62" s="9">
        <v>0</v>
      </c>
      <c r="Y62" s="9">
        <f t="shared" si="3"/>
        <v>0</v>
      </c>
      <c r="Z62" s="11">
        <v>0</v>
      </c>
      <c r="AA62" s="11" t="s">
        <v>282</v>
      </c>
      <c r="AB62" s="66" t="s">
        <v>193</v>
      </c>
      <c r="AC62" s="11" t="str">
        <f t="shared" si="5"/>
        <v>ENERGISA</v>
      </c>
      <c r="AD62" s="11" t="s">
        <v>183</v>
      </c>
      <c r="AE62" s="10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7" t="s">
        <v>184</v>
      </c>
      <c r="AQ62" s="100">
        <v>0</v>
      </c>
    </row>
    <row r="63" spans="1:43" hidden="1">
      <c r="A63" s="103">
        <v>44835</v>
      </c>
      <c r="B63" s="47" t="s">
        <v>198</v>
      </c>
      <c r="C63" s="2" t="s">
        <v>205</v>
      </c>
      <c r="D63" s="2" t="s">
        <v>206</v>
      </c>
      <c r="E63" s="4" t="s">
        <v>207</v>
      </c>
      <c r="F63" s="4" t="s">
        <v>283</v>
      </c>
      <c r="G63" s="5">
        <v>44835</v>
      </c>
      <c r="H63" s="31">
        <v>4442115</v>
      </c>
      <c r="I63" s="31">
        <v>4442115</v>
      </c>
      <c r="J63" s="52">
        <f t="shared" si="6"/>
        <v>4442.1149999999998</v>
      </c>
      <c r="K63" s="12">
        <v>44862</v>
      </c>
      <c r="L63" s="7" t="s">
        <v>175</v>
      </c>
      <c r="M63" s="34" t="s">
        <v>86</v>
      </c>
      <c r="N63" s="7" t="s">
        <v>191</v>
      </c>
      <c r="O63" s="7" t="s">
        <v>288</v>
      </c>
      <c r="P63" s="7" t="s">
        <v>209</v>
      </c>
      <c r="Q63" s="8" t="s">
        <v>179</v>
      </c>
      <c r="R63" s="9">
        <v>0</v>
      </c>
      <c r="S63" s="54">
        <f t="shared" si="1"/>
        <v>0</v>
      </c>
      <c r="T63" s="9">
        <v>0</v>
      </c>
      <c r="U63" s="54">
        <f t="shared" si="2"/>
        <v>0</v>
      </c>
      <c r="V63" s="11">
        <v>0</v>
      </c>
      <c r="W63" s="11" t="s">
        <v>285</v>
      </c>
      <c r="X63" s="9">
        <v>0</v>
      </c>
      <c r="Y63" s="9">
        <f t="shared" si="3"/>
        <v>0</v>
      </c>
      <c r="Z63" s="11">
        <v>0</v>
      </c>
      <c r="AA63" s="11" t="s">
        <v>282</v>
      </c>
      <c r="AB63" s="66" t="s">
        <v>193</v>
      </c>
      <c r="AC63" s="11" t="str">
        <f t="shared" si="5"/>
        <v>ENERGISA</v>
      </c>
      <c r="AD63" s="11" t="s">
        <v>183</v>
      </c>
      <c r="AE63" s="10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7" t="s">
        <v>184</v>
      </c>
      <c r="AQ63" s="100">
        <v>0</v>
      </c>
    </row>
    <row r="64" spans="1:43" hidden="1">
      <c r="A64" s="103">
        <v>44866</v>
      </c>
      <c r="B64" s="47" t="s">
        <v>198</v>
      </c>
      <c r="C64" s="2" t="s">
        <v>205</v>
      </c>
      <c r="D64" s="2" t="s">
        <v>206</v>
      </c>
      <c r="E64" s="4" t="s">
        <v>207</v>
      </c>
      <c r="F64" s="4" t="s">
        <v>283</v>
      </c>
      <c r="G64" s="5">
        <v>44866</v>
      </c>
      <c r="H64" s="31">
        <v>4442115</v>
      </c>
      <c r="I64" s="31">
        <v>4442115</v>
      </c>
      <c r="J64" s="52">
        <f t="shared" si="6"/>
        <v>4442.1149999999998</v>
      </c>
      <c r="K64" s="12">
        <v>44876</v>
      </c>
      <c r="L64" s="7" t="s">
        <v>175</v>
      </c>
      <c r="M64" s="34" t="s">
        <v>86</v>
      </c>
      <c r="N64" s="7" t="s">
        <v>191</v>
      </c>
      <c r="O64" s="7" t="s">
        <v>289</v>
      </c>
      <c r="P64" s="7" t="s">
        <v>209</v>
      </c>
      <c r="Q64" s="8" t="s">
        <v>179</v>
      </c>
      <c r="R64" s="9">
        <v>0</v>
      </c>
      <c r="S64" s="54">
        <f t="shared" si="1"/>
        <v>0</v>
      </c>
      <c r="T64" s="9">
        <v>0</v>
      </c>
      <c r="U64" s="54">
        <f t="shared" si="2"/>
        <v>0</v>
      </c>
      <c r="V64" s="11">
        <v>0</v>
      </c>
      <c r="W64" s="11" t="s">
        <v>285</v>
      </c>
      <c r="X64" s="9">
        <v>0</v>
      </c>
      <c r="Y64" s="9">
        <f t="shared" si="3"/>
        <v>0</v>
      </c>
      <c r="Z64" s="11">
        <v>0</v>
      </c>
      <c r="AA64" s="11" t="s">
        <v>282</v>
      </c>
      <c r="AB64" s="66" t="s">
        <v>193</v>
      </c>
      <c r="AC64" s="11" t="str">
        <f t="shared" si="5"/>
        <v>ENERGISA</v>
      </c>
      <c r="AD64" s="11" t="s">
        <v>183</v>
      </c>
      <c r="AE64" s="10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7" t="s">
        <v>184</v>
      </c>
      <c r="AQ64" s="100">
        <v>0</v>
      </c>
    </row>
    <row r="65" spans="1:43" hidden="1">
      <c r="A65" s="103">
        <v>44927</v>
      </c>
      <c r="B65" s="47" t="s">
        <v>198</v>
      </c>
      <c r="C65" s="2" t="s">
        <v>205</v>
      </c>
      <c r="D65" s="2" t="s">
        <v>206</v>
      </c>
      <c r="E65" s="4" t="s">
        <v>207</v>
      </c>
      <c r="F65" s="4" t="s">
        <v>283</v>
      </c>
      <c r="G65" s="5">
        <v>44927</v>
      </c>
      <c r="H65" s="31">
        <v>2961410</v>
      </c>
      <c r="I65" s="31">
        <v>2961410</v>
      </c>
      <c r="J65" s="52">
        <f t="shared" si="6"/>
        <v>2961.41</v>
      </c>
      <c r="K65" s="12">
        <v>44953</v>
      </c>
      <c r="L65" s="7" t="s">
        <v>175</v>
      </c>
      <c r="M65" s="34" t="s">
        <v>86</v>
      </c>
      <c r="N65" s="7" t="s">
        <v>191</v>
      </c>
      <c r="O65" s="7" t="s">
        <v>301</v>
      </c>
      <c r="P65" s="7" t="s">
        <v>209</v>
      </c>
      <c r="Q65" s="8" t="s">
        <v>179</v>
      </c>
      <c r="R65" s="9">
        <v>0</v>
      </c>
      <c r="S65" s="54">
        <f t="shared" si="1"/>
        <v>0</v>
      </c>
      <c r="T65" s="9">
        <v>0</v>
      </c>
      <c r="U65" s="54">
        <f t="shared" si="2"/>
        <v>0</v>
      </c>
      <c r="V65" s="11">
        <v>0</v>
      </c>
      <c r="W65" s="11" t="s">
        <v>285</v>
      </c>
      <c r="X65" s="9">
        <v>0</v>
      </c>
      <c r="Y65" s="9">
        <f t="shared" si="3"/>
        <v>0</v>
      </c>
      <c r="Z65" s="11">
        <v>0</v>
      </c>
      <c r="AA65" s="11" t="s">
        <v>282</v>
      </c>
      <c r="AB65" s="66" t="s">
        <v>193</v>
      </c>
      <c r="AC65" s="11" t="str">
        <f t="shared" si="5"/>
        <v>ENERGISA</v>
      </c>
      <c r="AD65" s="11" t="s">
        <v>183</v>
      </c>
      <c r="AE65" s="10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7" t="s">
        <v>184</v>
      </c>
      <c r="AQ65" s="100">
        <v>0</v>
      </c>
    </row>
    <row r="66" spans="1:43" hidden="1">
      <c r="A66" s="103">
        <v>45323</v>
      </c>
      <c r="B66" s="47" t="s">
        <v>198</v>
      </c>
      <c r="C66" s="2" t="s">
        <v>205</v>
      </c>
      <c r="D66" s="2" t="s">
        <v>206</v>
      </c>
      <c r="E66" s="4" t="s">
        <v>207</v>
      </c>
      <c r="F66" s="4" t="s">
        <v>283</v>
      </c>
      <c r="G66" s="5">
        <v>45323</v>
      </c>
      <c r="H66" s="31">
        <v>1335648.8799999999</v>
      </c>
      <c r="I66" s="31">
        <v>1335648.8799999999</v>
      </c>
      <c r="J66" s="52">
        <f t="shared" ref="J66:J97" si="7">I66/1000</f>
        <v>1335.64888</v>
      </c>
      <c r="K66" s="12">
        <v>45338</v>
      </c>
      <c r="L66" s="7" t="s">
        <v>175</v>
      </c>
      <c r="M66" s="34" t="s">
        <v>86</v>
      </c>
      <c r="N66" s="7" t="s">
        <v>191</v>
      </c>
      <c r="O66" s="7" t="s">
        <v>177</v>
      </c>
      <c r="P66" s="7" t="s">
        <v>209</v>
      </c>
      <c r="Q66" s="8" t="s">
        <v>179</v>
      </c>
      <c r="R66" s="9">
        <v>0</v>
      </c>
      <c r="S66" s="54">
        <f t="shared" ref="S66:S129" si="8">R66/1000</f>
        <v>0</v>
      </c>
      <c r="T66" s="9">
        <v>0</v>
      </c>
      <c r="U66" s="54">
        <f t="shared" ref="U66:U129" si="9">T66/1000</f>
        <v>0</v>
      </c>
      <c r="V66" s="11">
        <v>0</v>
      </c>
      <c r="W66" s="11" t="s">
        <v>285</v>
      </c>
      <c r="X66" s="9">
        <v>0</v>
      </c>
      <c r="Y66" s="9">
        <f t="shared" ref="Y66:Y129" si="10">X66/1000</f>
        <v>0</v>
      </c>
      <c r="Z66" s="11">
        <v>0</v>
      </c>
      <c r="AA66" s="11" t="s">
        <v>282</v>
      </c>
      <c r="AB66" s="66" t="s">
        <v>193</v>
      </c>
      <c r="AC66" s="11" t="str">
        <f t="shared" si="5"/>
        <v>ENERGISA</v>
      </c>
      <c r="AD66" s="11" t="s">
        <v>183</v>
      </c>
      <c r="AE66" s="10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7" t="s">
        <v>184</v>
      </c>
      <c r="AQ66" s="100">
        <v>0</v>
      </c>
    </row>
    <row r="67" spans="1:43" hidden="1">
      <c r="A67" s="103">
        <v>44652</v>
      </c>
      <c r="B67" s="47" t="s">
        <v>198</v>
      </c>
      <c r="C67" s="2" t="s">
        <v>199</v>
      </c>
      <c r="D67" s="2" t="s">
        <v>228</v>
      </c>
      <c r="E67" s="4" t="s">
        <v>186</v>
      </c>
      <c r="F67" s="4" t="s">
        <v>283</v>
      </c>
      <c r="G67" s="5">
        <v>44652</v>
      </c>
      <c r="H67" s="31">
        <v>660685.69999999995</v>
      </c>
      <c r="I67" s="31">
        <v>660685.69999999995</v>
      </c>
      <c r="J67" s="52">
        <f t="shared" si="7"/>
        <v>660.6857</v>
      </c>
      <c r="K67" s="12">
        <v>44680</v>
      </c>
      <c r="L67" s="7" t="s">
        <v>175</v>
      </c>
      <c r="M67" s="34" t="s">
        <v>87</v>
      </c>
      <c r="N67" s="7" t="s">
        <v>191</v>
      </c>
      <c r="O67" s="7" t="s">
        <v>284</v>
      </c>
      <c r="P67" s="7" t="s">
        <v>203</v>
      </c>
      <c r="Q67" s="8" t="s">
        <v>179</v>
      </c>
      <c r="R67" s="9">
        <v>66068570</v>
      </c>
      <c r="S67" s="54">
        <f t="shared" si="8"/>
        <v>66068.570000000007</v>
      </c>
      <c r="T67" s="9">
        <v>59461710</v>
      </c>
      <c r="U67" s="54">
        <f t="shared" si="9"/>
        <v>59461.71</v>
      </c>
      <c r="V67" s="10">
        <v>0.89999995459263005</v>
      </c>
      <c r="W67" s="11" t="s">
        <v>285</v>
      </c>
      <c r="X67" s="9">
        <v>0</v>
      </c>
      <c r="Y67" s="9">
        <f t="shared" si="10"/>
        <v>0</v>
      </c>
      <c r="Z67" s="11">
        <v>0</v>
      </c>
      <c r="AA67" s="11" t="s">
        <v>282</v>
      </c>
      <c r="AB67" s="66" t="s">
        <v>193</v>
      </c>
      <c r="AC67" s="11" t="str">
        <f t="shared" si="5"/>
        <v>ENERGISA</v>
      </c>
      <c r="AD67" s="11" t="s">
        <v>183</v>
      </c>
      <c r="AE67" s="10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7" t="s">
        <v>184</v>
      </c>
      <c r="AQ67" s="100">
        <v>0</v>
      </c>
    </row>
    <row r="68" spans="1:43" hidden="1">
      <c r="A68" s="103">
        <v>44652</v>
      </c>
      <c r="B68" s="47" t="s">
        <v>198</v>
      </c>
      <c r="C68" s="2" t="s">
        <v>199</v>
      </c>
      <c r="D68" s="2" t="s">
        <v>200</v>
      </c>
      <c r="E68" s="4" t="s">
        <v>201</v>
      </c>
      <c r="F68" s="4" t="s">
        <v>283</v>
      </c>
      <c r="G68" s="5">
        <v>44652</v>
      </c>
      <c r="H68" s="31">
        <v>17177827.300000001</v>
      </c>
      <c r="I68" s="31">
        <v>17177827.300000001</v>
      </c>
      <c r="J68" s="52">
        <f t="shared" si="7"/>
        <v>17177.827300000001</v>
      </c>
      <c r="K68" s="12">
        <v>44680</v>
      </c>
      <c r="L68" s="7" t="s">
        <v>175</v>
      </c>
      <c r="M68" s="34" t="s">
        <v>87</v>
      </c>
      <c r="N68" s="7" t="s">
        <v>191</v>
      </c>
      <c r="O68" s="7" t="s">
        <v>284</v>
      </c>
      <c r="P68" s="7" t="s">
        <v>203</v>
      </c>
      <c r="Q68" s="8" t="s">
        <v>179</v>
      </c>
      <c r="R68" s="9">
        <v>0</v>
      </c>
      <c r="S68" s="54">
        <f t="shared" si="8"/>
        <v>0</v>
      </c>
      <c r="T68" s="9">
        <v>0</v>
      </c>
      <c r="U68" s="54">
        <f t="shared" si="9"/>
        <v>0</v>
      </c>
      <c r="V68" s="11">
        <v>0</v>
      </c>
      <c r="W68" s="11" t="s">
        <v>285</v>
      </c>
      <c r="X68" s="9">
        <v>0</v>
      </c>
      <c r="Y68" s="9">
        <f t="shared" si="10"/>
        <v>0</v>
      </c>
      <c r="Z68" s="11">
        <v>0</v>
      </c>
      <c r="AA68" s="11" t="s">
        <v>282</v>
      </c>
      <c r="AB68" s="66" t="s">
        <v>193</v>
      </c>
      <c r="AC68" s="11" t="str">
        <f t="shared" si="5"/>
        <v>ENERGISA</v>
      </c>
      <c r="AD68" s="11" t="s">
        <v>183</v>
      </c>
      <c r="AE68" s="10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7" t="s">
        <v>184</v>
      </c>
      <c r="AQ68" s="100">
        <v>0</v>
      </c>
    </row>
    <row r="69" spans="1:43" hidden="1">
      <c r="A69" s="103">
        <v>44805</v>
      </c>
      <c r="B69" s="47" t="s">
        <v>198</v>
      </c>
      <c r="C69" s="2" t="s">
        <v>199</v>
      </c>
      <c r="D69" s="2" t="s">
        <v>200</v>
      </c>
      <c r="E69" s="4" t="s">
        <v>201</v>
      </c>
      <c r="F69" s="4" t="s">
        <v>283</v>
      </c>
      <c r="G69" s="5">
        <v>44805</v>
      </c>
      <c r="H69" s="31">
        <v>11892342</v>
      </c>
      <c r="I69" s="31">
        <v>11892342</v>
      </c>
      <c r="J69" s="52">
        <f t="shared" si="7"/>
        <v>11892.342000000001</v>
      </c>
      <c r="K69" s="12">
        <v>44819</v>
      </c>
      <c r="L69" s="7" t="s">
        <v>175</v>
      </c>
      <c r="M69" s="34" t="s">
        <v>87</v>
      </c>
      <c r="N69" s="7" t="s">
        <v>191</v>
      </c>
      <c r="O69" s="7" t="s">
        <v>287</v>
      </c>
      <c r="P69" s="7" t="s">
        <v>203</v>
      </c>
      <c r="Q69" s="8" t="s">
        <v>179</v>
      </c>
      <c r="R69" s="9">
        <v>0</v>
      </c>
      <c r="S69" s="54">
        <f t="shared" si="8"/>
        <v>0</v>
      </c>
      <c r="T69" s="9">
        <v>0</v>
      </c>
      <c r="U69" s="54">
        <f t="shared" si="9"/>
        <v>0</v>
      </c>
      <c r="V69" s="11">
        <v>0</v>
      </c>
      <c r="W69" s="11" t="s">
        <v>285</v>
      </c>
      <c r="X69" s="9">
        <v>0</v>
      </c>
      <c r="Y69" s="9">
        <f t="shared" si="10"/>
        <v>0</v>
      </c>
      <c r="Z69" s="11">
        <v>0</v>
      </c>
      <c r="AA69" s="11" t="s">
        <v>282</v>
      </c>
      <c r="AB69" s="66" t="s">
        <v>193</v>
      </c>
      <c r="AC69" s="11" t="str">
        <f t="shared" si="5"/>
        <v>ENERGISA</v>
      </c>
      <c r="AD69" s="11" t="s">
        <v>183</v>
      </c>
      <c r="AE69" s="10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7" t="s">
        <v>184</v>
      </c>
      <c r="AQ69" s="100">
        <v>0</v>
      </c>
    </row>
    <row r="70" spans="1:43" hidden="1">
      <c r="A70" s="103">
        <v>44835</v>
      </c>
      <c r="B70" s="47" t="s">
        <v>198</v>
      </c>
      <c r="C70" s="2" t="s">
        <v>199</v>
      </c>
      <c r="D70" s="2" t="s">
        <v>200</v>
      </c>
      <c r="E70" s="4" t="s">
        <v>201</v>
      </c>
      <c r="F70" s="4" t="s">
        <v>283</v>
      </c>
      <c r="G70" s="5">
        <v>44805</v>
      </c>
      <c r="H70" s="31">
        <v>8919256.5</v>
      </c>
      <c r="I70" s="31">
        <v>8919256.5</v>
      </c>
      <c r="J70" s="52">
        <f t="shared" si="7"/>
        <v>8919.2564999999995</v>
      </c>
      <c r="K70" s="12">
        <v>44841</v>
      </c>
      <c r="L70" s="7" t="s">
        <v>175</v>
      </c>
      <c r="M70" s="34" t="s">
        <v>87</v>
      </c>
      <c r="N70" s="7" t="s">
        <v>191</v>
      </c>
      <c r="O70" s="7" t="s">
        <v>288</v>
      </c>
      <c r="P70" s="7" t="s">
        <v>203</v>
      </c>
      <c r="Q70" s="8" t="s">
        <v>179</v>
      </c>
      <c r="R70" s="9">
        <v>0</v>
      </c>
      <c r="S70" s="54">
        <f t="shared" si="8"/>
        <v>0</v>
      </c>
      <c r="T70" s="9">
        <v>0</v>
      </c>
      <c r="U70" s="54">
        <f t="shared" si="9"/>
        <v>0</v>
      </c>
      <c r="V70" s="11">
        <v>0</v>
      </c>
      <c r="W70" s="11" t="s">
        <v>285</v>
      </c>
      <c r="X70" s="9">
        <v>0</v>
      </c>
      <c r="Y70" s="9">
        <f t="shared" si="10"/>
        <v>0</v>
      </c>
      <c r="Z70" s="11">
        <v>0</v>
      </c>
      <c r="AA70" s="11" t="s">
        <v>282</v>
      </c>
      <c r="AB70" s="66" t="s">
        <v>193</v>
      </c>
      <c r="AC70" s="11" t="str">
        <f t="shared" si="5"/>
        <v>ENERGISA</v>
      </c>
      <c r="AD70" s="11" t="s">
        <v>183</v>
      </c>
      <c r="AE70" s="10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7" t="s">
        <v>184</v>
      </c>
      <c r="AQ70" s="100">
        <v>0</v>
      </c>
    </row>
    <row r="71" spans="1:43" hidden="1">
      <c r="A71" s="103">
        <v>45017</v>
      </c>
      <c r="B71" s="47" t="s">
        <v>198</v>
      </c>
      <c r="C71" s="2" t="s">
        <v>199</v>
      </c>
      <c r="D71" s="2" t="s">
        <v>200</v>
      </c>
      <c r="E71" s="4" t="s">
        <v>201</v>
      </c>
      <c r="F71" s="4" t="s">
        <v>283</v>
      </c>
      <c r="G71" s="5">
        <v>45017</v>
      </c>
      <c r="H71" s="31">
        <v>8919256.5</v>
      </c>
      <c r="I71" s="31">
        <v>8919256.5</v>
      </c>
      <c r="J71" s="52">
        <f t="shared" si="7"/>
        <v>8919.2564999999995</v>
      </c>
      <c r="K71" s="12">
        <v>45026</v>
      </c>
      <c r="L71" s="7" t="s">
        <v>175</v>
      </c>
      <c r="M71" s="34" t="s">
        <v>87</v>
      </c>
      <c r="N71" s="7" t="s">
        <v>191</v>
      </c>
      <c r="O71" s="7" t="s">
        <v>289</v>
      </c>
      <c r="P71" s="7" t="s">
        <v>203</v>
      </c>
      <c r="Q71" s="8" t="s">
        <v>179</v>
      </c>
      <c r="R71" s="9">
        <v>0</v>
      </c>
      <c r="S71" s="54">
        <f t="shared" si="8"/>
        <v>0</v>
      </c>
      <c r="T71" s="9">
        <v>0</v>
      </c>
      <c r="U71" s="54">
        <f t="shared" si="9"/>
        <v>0</v>
      </c>
      <c r="V71" s="11">
        <v>0</v>
      </c>
      <c r="W71" s="11" t="s">
        <v>285</v>
      </c>
      <c r="X71" s="9">
        <v>0</v>
      </c>
      <c r="Y71" s="9">
        <f t="shared" si="10"/>
        <v>0</v>
      </c>
      <c r="Z71" s="11">
        <v>0</v>
      </c>
      <c r="AA71" s="11" t="s">
        <v>282</v>
      </c>
      <c r="AB71" s="66" t="s">
        <v>193</v>
      </c>
      <c r="AC71" s="11" t="str">
        <f t="shared" si="5"/>
        <v>ENERGISA</v>
      </c>
      <c r="AD71" s="11" t="s">
        <v>183</v>
      </c>
      <c r="AE71" s="10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7" t="s">
        <v>184</v>
      </c>
      <c r="AQ71" s="100">
        <v>0</v>
      </c>
    </row>
    <row r="72" spans="1:43" hidden="1">
      <c r="A72" s="103">
        <v>45078</v>
      </c>
      <c r="B72" s="47" t="s">
        <v>198</v>
      </c>
      <c r="C72" s="2" t="s">
        <v>199</v>
      </c>
      <c r="D72" s="2" t="s">
        <v>200</v>
      </c>
      <c r="E72" s="4" t="s">
        <v>201</v>
      </c>
      <c r="F72" s="4" t="s">
        <v>283</v>
      </c>
      <c r="G72" s="5">
        <v>45078</v>
      </c>
      <c r="H72" s="31">
        <v>5946171</v>
      </c>
      <c r="I72" s="31">
        <v>5946171</v>
      </c>
      <c r="J72" s="52">
        <f t="shared" si="7"/>
        <v>5946.1710000000003</v>
      </c>
      <c r="K72" s="12">
        <v>45107</v>
      </c>
      <c r="L72" s="7" t="s">
        <v>175</v>
      </c>
      <c r="M72" s="34" t="s">
        <v>87</v>
      </c>
      <c r="N72" s="7" t="s">
        <v>191</v>
      </c>
      <c r="O72" s="7" t="s">
        <v>297</v>
      </c>
      <c r="P72" s="7" t="s">
        <v>203</v>
      </c>
      <c r="Q72" s="8" t="s">
        <v>179</v>
      </c>
      <c r="R72" s="9">
        <v>0</v>
      </c>
      <c r="S72" s="54">
        <f t="shared" si="8"/>
        <v>0</v>
      </c>
      <c r="T72" s="9">
        <v>0</v>
      </c>
      <c r="U72" s="54">
        <f t="shared" si="9"/>
        <v>0</v>
      </c>
      <c r="V72" s="11">
        <v>0</v>
      </c>
      <c r="W72" s="11" t="s">
        <v>285</v>
      </c>
      <c r="X72" s="9">
        <v>0</v>
      </c>
      <c r="Y72" s="9">
        <f t="shared" si="10"/>
        <v>0</v>
      </c>
      <c r="Z72" s="11">
        <v>0</v>
      </c>
      <c r="AA72" s="11" t="s">
        <v>282</v>
      </c>
      <c r="AB72" s="66" t="s">
        <v>193</v>
      </c>
      <c r="AC72" s="11" t="str">
        <f t="shared" si="5"/>
        <v>ENERGISA</v>
      </c>
      <c r="AD72" s="11" t="s">
        <v>183</v>
      </c>
      <c r="AE72" s="10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7" t="s">
        <v>184</v>
      </c>
      <c r="AQ72" s="100">
        <v>0</v>
      </c>
    </row>
    <row r="73" spans="1:43" hidden="1">
      <c r="A73" s="103">
        <v>45444</v>
      </c>
      <c r="B73" s="47" t="s">
        <v>198</v>
      </c>
      <c r="C73" s="2" t="s">
        <v>199</v>
      </c>
      <c r="D73" s="2" t="s">
        <v>200</v>
      </c>
      <c r="E73" s="4" t="s">
        <v>201</v>
      </c>
      <c r="F73" s="4" t="s">
        <v>283</v>
      </c>
      <c r="G73" s="5">
        <v>45444</v>
      </c>
      <c r="H73" s="31">
        <v>2383554.65</v>
      </c>
      <c r="I73" s="31">
        <v>2383554.65</v>
      </c>
      <c r="J73" s="52">
        <f t="shared" si="7"/>
        <v>2383.55465</v>
      </c>
      <c r="K73" s="12">
        <v>45464</v>
      </c>
      <c r="L73" s="7" t="s">
        <v>175</v>
      </c>
      <c r="M73" s="34" t="s">
        <v>87</v>
      </c>
      <c r="N73" s="7" t="s">
        <v>191</v>
      </c>
      <c r="O73" s="7" t="s">
        <v>177</v>
      </c>
      <c r="P73" s="7" t="s">
        <v>203</v>
      </c>
      <c r="Q73" s="8" t="s">
        <v>179</v>
      </c>
      <c r="R73" s="9">
        <v>0</v>
      </c>
      <c r="S73" s="54">
        <f t="shared" si="8"/>
        <v>0</v>
      </c>
      <c r="T73" s="9">
        <v>0</v>
      </c>
      <c r="U73" s="54">
        <f t="shared" si="9"/>
        <v>0</v>
      </c>
      <c r="V73" s="11">
        <v>0</v>
      </c>
      <c r="W73" s="11" t="s">
        <v>285</v>
      </c>
      <c r="X73" s="9">
        <v>0</v>
      </c>
      <c r="Y73" s="9">
        <f t="shared" si="10"/>
        <v>0</v>
      </c>
      <c r="Z73" s="11">
        <v>0</v>
      </c>
      <c r="AA73" s="11" t="s">
        <v>282</v>
      </c>
      <c r="AB73" s="66" t="s">
        <v>193</v>
      </c>
      <c r="AC73" s="11" t="str">
        <f t="shared" si="5"/>
        <v>ENERGISA</v>
      </c>
      <c r="AD73" s="11" t="s">
        <v>183</v>
      </c>
      <c r="AE73" s="10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7" t="s">
        <v>184</v>
      </c>
      <c r="AQ73" s="100">
        <v>0</v>
      </c>
    </row>
    <row r="74" spans="1:43">
      <c r="A74" s="103">
        <v>44805</v>
      </c>
      <c r="B74" s="47" t="s">
        <v>198</v>
      </c>
      <c r="C74" s="2" t="s">
        <v>302</v>
      </c>
      <c r="D74" s="2" t="s">
        <v>228</v>
      </c>
      <c r="E74" s="4" t="s">
        <v>186</v>
      </c>
      <c r="F74" s="4" t="s">
        <v>283</v>
      </c>
      <c r="G74" s="5">
        <v>44805</v>
      </c>
      <c r="H74" s="31">
        <v>186294.1</v>
      </c>
      <c r="I74" s="31">
        <v>186294.1</v>
      </c>
      <c r="J74" s="52">
        <f t="shared" si="7"/>
        <v>186.29410000000001</v>
      </c>
      <c r="K74" s="12">
        <v>44813</v>
      </c>
      <c r="L74" s="7" t="s">
        <v>175</v>
      </c>
      <c r="M74" s="34" t="s">
        <v>51</v>
      </c>
      <c r="N74" s="7" t="s">
        <v>191</v>
      </c>
      <c r="O74" s="7" t="s">
        <v>284</v>
      </c>
      <c r="P74" s="7" t="s">
        <v>303</v>
      </c>
      <c r="Q74" s="8" t="s">
        <v>179</v>
      </c>
      <c r="R74" s="9">
        <v>18629410</v>
      </c>
      <c r="S74" s="54">
        <f t="shared" si="8"/>
        <v>18629.41</v>
      </c>
      <c r="T74" s="9">
        <v>16766470</v>
      </c>
      <c r="U74" s="54">
        <f t="shared" si="9"/>
        <v>16766.47</v>
      </c>
      <c r="V74" s="10">
        <v>0.90000005367856528</v>
      </c>
      <c r="W74" s="11" t="s">
        <v>285</v>
      </c>
      <c r="X74" s="9">
        <v>-1894623.01</v>
      </c>
      <c r="Y74" s="9">
        <f t="shared" si="10"/>
        <v>-1894.62301</v>
      </c>
      <c r="Z74" s="10">
        <f>X74/T74</f>
        <v>-0.11300070974987579</v>
      </c>
      <c r="AA74" s="11" t="s">
        <v>292</v>
      </c>
      <c r="AB74" s="66" t="s">
        <v>193</v>
      </c>
      <c r="AC74" s="11" t="str">
        <f t="shared" si="5"/>
        <v>ENERGISA</v>
      </c>
      <c r="AD74" s="11" t="s">
        <v>6</v>
      </c>
      <c r="AE74" s="10">
        <f>SUM(I74+I75+I76+I77+I78)/T74-100%+Z74</f>
        <v>-0.31300070974987576</v>
      </c>
      <c r="AF74" s="9">
        <v>-1894623.01</v>
      </c>
      <c r="AG74" s="9">
        <f>AF74/1000</f>
        <v>-1894.62301</v>
      </c>
      <c r="AH74" s="79">
        <f>AE74*T74</f>
        <v>-5247917.01</v>
      </c>
      <c r="AI74" s="79">
        <f>AH74/1000</f>
        <v>-5247.9170100000001</v>
      </c>
      <c r="AJ74" s="9">
        <f>AK74*1000</f>
        <v>16934300</v>
      </c>
      <c r="AK74" s="9">
        <v>16934.3</v>
      </c>
      <c r="AL74" s="9">
        <v>0.90900000000000003</v>
      </c>
      <c r="AM74" s="9">
        <f>AN74*1000</f>
        <v>1695110</v>
      </c>
      <c r="AN74" s="9">
        <v>1695.11</v>
      </c>
      <c r="AO74" s="9">
        <v>9.0999999999999998E-2</v>
      </c>
      <c r="AP74" s="97" t="s">
        <v>304</v>
      </c>
      <c r="AQ74" s="100">
        <v>1.0102</v>
      </c>
    </row>
    <row r="75" spans="1:43">
      <c r="A75" s="103">
        <v>44805</v>
      </c>
      <c r="B75" s="47" t="s">
        <v>198</v>
      </c>
      <c r="C75" s="2" t="s">
        <v>302</v>
      </c>
      <c r="D75" s="2" t="s">
        <v>305</v>
      </c>
      <c r="E75" s="4" t="s">
        <v>306</v>
      </c>
      <c r="F75" s="4" t="s">
        <v>283</v>
      </c>
      <c r="G75" s="5">
        <v>44805</v>
      </c>
      <c r="H75" s="31">
        <v>4843646.9000000004</v>
      </c>
      <c r="I75" s="31">
        <v>4843646.9000000004</v>
      </c>
      <c r="J75" s="52">
        <f t="shared" si="7"/>
        <v>4843.6469000000006</v>
      </c>
      <c r="K75" s="12">
        <v>44813</v>
      </c>
      <c r="L75" s="7" t="s">
        <v>175</v>
      </c>
      <c r="M75" s="34" t="s">
        <v>51</v>
      </c>
      <c r="N75" s="7" t="s">
        <v>191</v>
      </c>
      <c r="O75" s="7" t="s">
        <v>284</v>
      </c>
      <c r="P75" s="7" t="s">
        <v>303</v>
      </c>
      <c r="Q75" s="8" t="s">
        <v>179</v>
      </c>
      <c r="R75" s="9">
        <v>0</v>
      </c>
      <c r="S75" s="54">
        <f t="shared" si="8"/>
        <v>0</v>
      </c>
      <c r="T75" s="9">
        <v>0</v>
      </c>
      <c r="U75" s="54">
        <f t="shared" si="9"/>
        <v>0</v>
      </c>
      <c r="V75" s="11">
        <v>0</v>
      </c>
      <c r="W75" s="11" t="s">
        <v>285</v>
      </c>
      <c r="X75" s="9">
        <v>0</v>
      </c>
      <c r="Y75" s="9">
        <f t="shared" si="10"/>
        <v>0</v>
      </c>
      <c r="Z75" s="11">
        <v>0</v>
      </c>
      <c r="AA75" s="11" t="s">
        <v>292</v>
      </c>
      <c r="AB75" s="66" t="s">
        <v>193</v>
      </c>
      <c r="AC75" s="11" t="str">
        <f t="shared" si="5"/>
        <v>ENERGISA</v>
      </c>
      <c r="AD75" s="11" t="s">
        <v>6</v>
      </c>
      <c r="AE75" s="10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7" t="s">
        <v>184</v>
      </c>
      <c r="AQ75" s="100">
        <v>0</v>
      </c>
    </row>
    <row r="76" spans="1:43">
      <c r="A76" s="103">
        <v>44835</v>
      </c>
      <c r="B76" s="47" t="s">
        <v>198</v>
      </c>
      <c r="C76" s="2" t="s">
        <v>302</v>
      </c>
      <c r="D76" s="2" t="s">
        <v>305</v>
      </c>
      <c r="E76" s="4" t="s">
        <v>306</v>
      </c>
      <c r="F76" s="4" t="s">
        <v>283</v>
      </c>
      <c r="G76" s="5">
        <v>44835</v>
      </c>
      <c r="H76" s="31">
        <v>3353294</v>
      </c>
      <c r="I76" s="31">
        <v>3353294</v>
      </c>
      <c r="J76" s="52">
        <f t="shared" si="7"/>
        <v>3353.2939999999999</v>
      </c>
      <c r="K76" s="12">
        <v>44865</v>
      </c>
      <c r="L76" s="7" t="s">
        <v>175</v>
      </c>
      <c r="M76" s="34" t="s">
        <v>51</v>
      </c>
      <c r="N76" s="7" t="s">
        <v>191</v>
      </c>
      <c r="O76" s="7" t="s">
        <v>286</v>
      </c>
      <c r="P76" s="7" t="s">
        <v>303</v>
      </c>
      <c r="Q76" s="8" t="s">
        <v>179</v>
      </c>
      <c r="R76" s="9">
        <v>0</v>
      </c>
      <c r="S76" s="54">
        <f t="shared" si="8"/>
        <v>0</v>
      </c>
      <c r="T76" s="9">
        <v>0</v>
      </c>
      <c r="U76" s="54">
        <f t="shared" si="9"/>
        <v>0</v>
      </c>
      <c r="V76" s="11">
        <v>0</v>
      </c>
      <c r="W76" s="11" t="s">
        <v>285</v>
      </c>
      <c r="X76" s="9">
        <v>0</v>
      </c>
      <c r="Y76" s="9">
        <f t="shared" si="10"/>
        <v>0</v>
      </c>
      <c r="Z76" s="11">
        <v>0</v>
      </c>
      <c r="AA76" s="11" t="s">
        <v>292</v>
      </c>
      <c r="AB76" s="66" t="s">
        <v>193</v>
      </c>
      <c r="AC76" s="11" t="str">
        <f t="shared" si="5"/>
        <v>ENERGISA</v>
      </c>
      <c r="AD76" s="11" t="s">
        <v>6</v>
      </c>
      <c r="AE76" s="10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7" t="s">
        <v>184</v>
      </c>
      <c r="AQ76" s="100">
        <v>0</v>
      </c>
    </row>
    <row r="77" spans="1:43">
      <c r="A77" s="103">
        <v>44986</v>
      </c>
      <c r="B77" s="47" t="s">
        <v>198</v>
      </c>
      <c r="C77" s="2" t="s">
        <v>302</v>
      </c>
      <c r="D77" s="2" t="s">
        <v>305</v>
      </c>
      <c r="E77" s="4" t="s">
        <v>306</v>
      </c>
      <c r="F77" s="4" t="s">
        <v>283</v>
      </c>
      <c r="G77" s="5">
        <v>44986</v>
      </c>
      <c r="H77" s="31">
        <v>2514970.5</v>
      </c>
      <c r="I77" s="31">
        <v>2514970.5</v>
      </c>
      <c r="J77" s="52">
        <f t="shared" si="7"/>
        <v>2514.9704999999999</v>
      </c>
      <c r="K77" s="12">
        <v>44999</v>
      </c>
      <c r="L77" s="7" t="s">
        <v>175</v>
      </c>
      <c r="M77" s="34" t="s">
        <v>51</v>
      </c>
      <c r="N77" s="7" t="s">
        <v>191</v>
      </c>
      <c r="O77" s="7" t="s">
        <v>288</v>
      </c>
      <c r="P77" s="7" t="s">
        <v>303</v>
      </c>
      <c r="Q77" s="8" t="s">
        <v>179</v>
      </c>
      <c r="R77" s="9">
        <v>0</v>
      </c>
      <c r="S77" s="54">
        <f t="shared" si="8"/>
        <v>0</v>
      </c>
      <c r="T77" s="9">
        <v>0</v>
      </c>
      <c r="U77" s="54">
        <f t="shared" si="9"/>
        <v>0</v>
      </c>
      <c r="V77" s="11">
        <v>0</v>
      </c>
      <c r="W77" s="11" t="s">
        <v>285</v>
      </c>
      <c r="X77" s="9">
        <v>0</v>
      </c>
      <c r="Y77" s="9">
        <f t="shared" si="10"/>
        <v>0</v>
      </c>
      <c r="Z77" s="11">
        <v>0</v>
      </c>
      <c r="AA77" s="11" t="s">
        <v>292</v>
      </c>
      <c r="AB77" s="66" t="s">
        <v>193</v>
      </c>
      <c r="AC77" s="11" t="str">
        <f t="shared" si="5"/>
        <v>ENERGISA</v>
      </c>
      <c r="AD77" s="11" t="s">
        <v>6</v>
      </c>
      <c r="AE77" s="10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7" t="s">
        <v>184</v>
      </c>
      <c r="AQ77" s="100">
        <v>0</v>
      </c>
    </row>
    <row r="78" spans="1:43">
      <c r="A78" s="103">
        <v>45231</v>
      </c>
      <c r="B78" s="47" t="s">
        <v>198</v>
      </c>
      <c r="C78" s="2" t="s">
        <v>302</v>
      </c>
      <c r="D78" s="2" t="s">
        <v>305</v>
      </c>
      <c r="E78" s="4" t="s">
        <v>306</v>
      </c>
      <c r="F78" s="4" t="s">
        <v>283</v>
      </c>
      <c r="G78" s="5">
        <v>45258</v>
      </c>
      <c r="H78" s="31">
        <v>2514970.5</v>
      </c>
      <c r="I78" s="31">
        <v>2514970.5</v>
      </c>
      <c r="J78" s="52">
        <f t="shared" si="7"/>
        <v>2514.9704999999999</v>
      </c>
      <c r="K78" s="12">
        <v>45260</v>
      </c>
      <c r="L78" s="7" t="s">
        <v>175</v>
      </c>
      <c r="M78" s="34" t="s">
        <v>51</v>
      </c>
      <c r="N78" s="7" t="s">
        <v>191</v>
      </c>
      <c r="O78" s="7" t="s">
        <v>289</v>
      </c>
      <c r="P78" s="7" t="s">
        <v>303</v>
      </c>
      <c r="Q78" s="8" t="s">
        <v>179</v>
      </c>
      <c r="R78" s="9">
        <v>0</v>
      </c>
      <c r="S78" s="54">
        <f t="shared" si="8"/>
        <v>0</v>
      </c>
      <c r="T78" s="9">
        <v>0</v>
      </c>
      <c r="U78" s="54">
        <f t="shared" si="9"/>
        <v>0</v>
      </c>
      <c r="V78" s="11">
        <v>0</v>
      </c>
      <c r="W78" s="11" t="s">
        <v>285</v>
      </c>
      <c r="X78" s="9">
        <v>0</v>
      </c>
      <c r="Y78" s="9">
        <f t="shared" si="10"/>
        <v>0</v>
      </c>
      <c r="Z78" s="11">
        <v>0</v>
      </c>
      <c r="AA78" s="11" t="s">
        <v>292</v>
      </c>
      <c r="AB78" s="66" t="s">
        <v>193</v>
      </c>
      <c r="AC78" s="11" t="str">
        <f t="shared" si="5"/>
        <v>ENERGISA</v>
      </c>
      <c r="AD78" s="11" t="s">
        <v>6</v>
      </c>
      <c r="AE78" s="10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7" t="s">
        <v>184</v>
      </c>
      <c r="AQ78" s="100">
        <v>0</v>
      </c>
    </row>
    <row r="79" spans="1:43" hidden="1">
      <c r="A79" s="103">
        <v>44713</v>
      </c>
      <c r="B79" s="47" t="s">
        <v>198</v>
      </c>
      <c r="C79" s="2" t="s">
        <v>215</v>
      </c>
      <c r="D79" s="2" t="s">
        <v>228</v>
      </c>
      <c r="E79" s="4" t="s">
        <v>186</v>
      </c>
      <c r="F79" s="4" t="s">
        <v>283</v>
      </c>
      <c r="G79" s="5">
        <v>44713</v>
      </c>
      <c r="H79" s="31">
        <v>248974.9</v>
      </c>
      <c r="I79" s="31">
        <v>248974.9</v>
      </c>
      <c r="J79" s="52">
        <f t="shared" si="7"/>
        <v>248.97489999999999</v>
      </c>
      <c r="K79" s="12">
        <v>44725</v>
      </c>
      <c r="L79" s="7" t="s">
        <v>175</v>
      </c>
      <c r="M79" s="34" t="s">
        <v>88</v>
      </c>
      <c r="N79" s="7" t="s">
        <v>191</v>
      </c>
      <c r="O79" s="7" t="s">
        <v>284</v>
      </c>
      <c r="P79" s="7" t="s">
        <v>217</v>
      </c>
      <c r="Q79" s="8" t="s">
        <v>179</v>
      </c>
      <c r="R79" s="9">
        <v>24897490</v>
      </c>
      <c r="S79" s="54">
        <f t="shared" si="8"/>
        <v>24897.49</v>
      </c>
      <c r="T79" s="9">
        <v>22407740</v>
      </c>
      <c r="U79" s="54">
        <f t="shared" si="9"/>
        <v>22407.74</v>
      </c>
      <c r="V79" s="10">
        <v>0.89999995983530867</v>
      </c>
      <c r="W79" s="11" t="s">
        <v>285</v>
      </c>
      <c r="X79" s="9">
        <v>-1656940.51</v>
      </c>
      <c r="Y79" s="9">
        <f t="shared" si="10"/>
        <v>-1656.9405099999999</v>
      </c>
      <c r="Z79" s="10">
        <f>X79/T79</f>
        <v>-7.3945007841040647E-2</v>
      </c>
      <c r="AA79" s="11" t="s">
        <v>282</v>
      </c>
      <c r="AB79" s="66" t="s">
        <v>193</v>
      </c>
      <c r="AC79" s="11" t="str">
        <f t="shared" si="5"/>
        <v>ENERGISA</v>
      </c>
      <c r="AD79" s="11" t="s">
        <v>183</v>
      </c>
      <c r="AE79" s="10">
        <f>Z79</f>
        <v>-7.3945007841040647E-2</v>
      </c>
      <c r="AF79" s="9">
        <f>X79</f>
        <v>-1656940.51</v>
      </c>
      <c r="AG79" s="9">
        <f>AF79/1000</f>
        <v>-1656.9405099999999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7" t="s">
        <v>184</v>
      </c>
      <c r="AQ79" s="100">
        <v>0</v>
      </c>
    </row>
    <row r="80" spans="1:43" hidden="1">
      <c r="A80" s="103">
        <v>44713</v>
      </c>
      <c r="B80" s="47" t="s">
        <v>198</v>
      </c>
      <c r="C80" s="2" t="s">
        <v>215</v>
      </c>
      <c r="D80" s="2" t="s">
        <v>216</v>
      </c>
      <c r="E80" s="4" t="s">
        <v>277</v>
      </c>
      <c r="F80" s="4" t="s">
        <v>283</v>
      </c>
      <c r="G80" s="5">
        <v>44713</v>
      </c>
      <c r="H80" s="31">
        <v>6473347.0999999996</v>
      </c>
      <c r="I80" s="31">
        <v>6473347.0999999996</v>
      </c>
      <c r="J80" s="52">
        <f t="shared" si="7"/>
        <v>6473.3471</v>
      </c>
      <c r="K80" s="12">
        <v>44725</v>
      </c>
      <c r="L80" s="7" t="s">
        <v>175</v>
      </c>
      <c r="M80" s="34" t="s">
        <v>88</v>
      </c>
      <c r="N80" s="7" t="s">
        <v>191</v>
      </c>
      <c r="O80" s="7" t="s">
        <v>284</v>
      </c>
      <c r="P80" s="7" t="s">
        <v>217</v>
      </c>
      <c r="Q80" s="8" t="s">
        <v>179</v>
      </c>
      <c r="R80" s="9">
        <v>0</v>
      </c>
      <c r="S80" s="54">
        <f t="shared" si="8"/>
        <v>0</v>
      </c>
      <c r="T80" s="9">
        <v>0</v>
      </c>
      <c r="U80" s="54">
        <f t="shared" si="9"/>
        <v>0</v>
      </c>
      <c r="V80" s="10">
        <v>0</v>
      </c>
      <c r="W80" s="11" t="s">
        <v>285</v>
      </c>
      <c r="X80" s="9">
        <v>0</v>
      </c>
      <c r="Y80" s="9">
        <f t="shared" si="10"/>
        <v>0</v>
      </c>
      <c r="Z80" s="11">
        <v>0</v>
      </c>
      <c r="AA80" s="11" t="s">
        <v>282</v>
      </c>
      <c r="AB80" s="66" t="s">
        <v>193</v>
      </c>
      <c r="AC80" s="11" t="str">
        <f t="shared" si="5"/>
        <v>ENERGISA</v>
      </c>
      <c r="AD80" s="11" t="s">
        <v>183</v>
      </c>
      <c r="AE80" s="10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7" t="s">
        <v>184</v>
      </c>
      <c r="AQ80" s="100">
        <v>0</v>
      </c>
    </row>
    <row r="81" spans="1:43" hidden="1">
      <c r="A81" s="103">
        <v>44927</v>
      </c>
      <c r="B81" s="47" t="s">
        <v>198</v>
      </c>
      <c r="C81" s="2" t="s">
        <v>215</v>
      </c>
      <c r="D81" s="2" t="s">
        <v>216</v>
      </c>
      <c r="E81" s="4" t="s">
        <v>277</v>
      </c>
      <c r="F81" s="4" t="s">
        <v>283</v>
      </c>
      <c r="G81" s="5">
        <v>44927</v>
      </c>
      <c r="H81" s="31">
        <v>4481548</v>
      </c>
      <c r="I81" s="31">
        <v>4481548</v>
      </c>
      <c r="J81" s="52">
        <f t="shared" si="7"/>
        <v>4481.5479999999998</v>
      </c>
      <c r="K81" s="12">
        <v>44942</v>
      </c>
      <c r="L81" s="7" t="s">
        <v>175</v>
      </c>
      <c r="M81" s="34" t="s">
        <v>88</v>
      </c>
      <c r="N81" s="7" t="s">
        <v>191</v>
      </c>
      <c r="O81" s="7" t="s">
        <v>286</v>
      </c>
      <c r="P81" s="7" t="s">
        <v>217</v>
      </c>
      <c r="Q81" s="8" t="s">
        <v>179</v>
      </c>
      <c r="R81" s="9">
        <v>0</v>
      </c>
      <c r="S81" s="54">
        <f t="shared" si="8"/>
        <v>0</v>
      </c>
      <c r="T81" s="9">
        <v>0</v>
      </c>
      <c r="U81" s="54">
        <f t="shared" si="9"/>
        <v>0</v>
      </c>
      <c r="V81" s="10">
        <v>0</v>
      </c>
      <c r="W81" s="11" t="s">
        <v>285</v>
      </c>
      <c r="X81" s="9">
        <v>0</v>
      </c>
      <c r="Y81" s="9">
        <f t="shared" si="10"/>
        <v>0</v>
      </c>
      <c r="Z81" s="11">
        <v>0</v>
      </c>
      <c r="AA81" s="11" t="s">
        <v>282</v>
      </c>
      <c r="AB81" s="66" t="s">
        <v>193</v>
      </c>
      <c r="AC81" s="11" t="str">
        <f t="shared" si="5"/>
        <v>ENERGISA</v>
      </c>
      <c r="AD81" s="11" t="s">
        <v>183</v>
      </c>
      <c r="AE81" s="10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7" t="s">
        <v>184</v>
      </c>
      <c r="AQ81" s="100">
        <v>0</v>
      </c>
    </row>
    <row r="82" spans="1:43" hidden="1">
      <c r="A82" s="103">
        <v>44986</v>
      </c>
      <c r="B82" s="47" t="s">
        <v>198</v>
      </c>
      <c r="C82" s="2" t="s">
        <v>215</v>
      </c>
      <c r="D82" s="2" t="s">
        <v>216</v>
      </c>
      <c r="E82" s="4" t="s">
        <v>277</v>
      </c>
      <c r="F82" s="4" t="s">
        <v>283</v>
      </c>
      <c r="G82" s="5">
        <v>44986</v>
      </c>
      <c r="H82" s="31">
        <v>3361161</v>
      </c>
      <c r="I82" s="31">
        <v>3361161</v>
      </c>
      <c r="J82" s="52">
        <f t="shared" si="7"/>
        <v>3361.1610000000001</v>
      </c>
      <c r="K82" s="12">
        <v>44988</v>
      </c>
      <c r="L82" s="7" t="s">
        <v>175</v>
      </c>
      <c r="M82" s="34" t="s">
        <v>88</v>
      </c>
      <c r="N82" s="7" t="s">
        <v>191</v>
      </c>
      <c r="O82" s="7" t="s">
        <v>288</v>
      </c>
      <c r="P82" s="7" t="s">
        <v>217</v>
      </c>
      <c r="Q82" s="8" t="s">
        <v>179</v>
      </c>
      <c r="R82" s="9">
        <v>0</v>
      </c>
      <c r="S82" s="54">
        <f t="shared" si="8"/>
        <v>0</v>
      </c>
      <c r="T82" s="9">
        <v>0</v>
      </c>
      <c r="U82" s="54">
        <f t="shared" si="9"/>
        <v>0</v>
      </c>
      <c r="V82" s="10">
        <v>0</v>
      </c>
      <c r="W82" s="11" t="s">
        <v>285</v>
      </c>
      <c r="X82" s="9">
        <v>0</v>
      </c>
      <c r="Y82" s="9">
        <f t="shared" si="10"/>
        <v>0</v>
      </c>
      <c r="Z82" s="11">
        <v>0</v>
      </c>
      <c r="AA82" s="11" t="s">
        <v>282</v>
      </c>
      <c r="AB82" s="66" t="s">
        <v>193</v>
      </c>
      <c r="AC82" s="11" t="str">
        <f t="shared" si="5"/>
        <v>ENERGISA</v>
      </c>
      <c r="AD82" s="11" t="s">
        <v>183</v>
      </c>
      <c r="AE82" s="10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7" t="s">
        <v>184</v>
      </c>
      <c r="AQ82" s="100">
        <v>0</v>
      </c>
    </row>
    <row r="83" spans="1:43" hidden="1">
      <c r="A83" s="103">
        <v>45017</v>
      </c>
      <c r="B83" s="47" t="s">
        <v>198</v>
      </c>
      <c r="C83" s="2" t="s">
        <v>215</v>
      </c>
      <c r="D83" s="2" t="s">
        <v>216</v>
      </c>
      <c r="E83" s="4" t="s">
        <v>277</v>
      </c>
      <c r="F83" s="4" t="s">
        <v>283</v>
      </c>
      <c r="G83" s="5">
        <v>45017</v>
      </c>
      <c r="H83" s="31">
        <v>3361161</v>
      </c>
      <c r="I83" s="31">
        <v>3361161</v>
      </c>
      <c r="J83" s="52">
        <f t="shared" si="7"/>
        <v>3361.1610000000001</v>
      </c>
      <c r="K83" s="12">
        <v>45030</v>
      </c>
      <c r="L83" s="7" t="s">
        <v>175</v>
      </c>
      <c r="M83" s="34" t="s">
        <v>88</v>
      </c>
      <c r="N83" s="7" t="s">
        <v>191</v>
      </c>
      <c r="O83" s="7" t="s">
        <v>289</v>
      </c>
      <c r="P83" s="7" t="s">
        <v>217</v>
      </c>
      <c r="Q83" s="8" t="s">
        <v>179</v>
      </c>
      <c r="R83" s="9">
        <v>0</v>
      </c>
      <c r="S83" s="54">
        <f t="shared" si="8"/>
        <v>0</v>
      </c>
      <c r="T83" s="9">
        <v>0</v>
      </c>
      <c r="U83" s="54">
        <f t="shared" si="9"/>
        <v>0</v>
      </c>
      <c r="V83" s="10">
        <v>0</v>
      </c>
      <c r="W83" s="11" t="s">
        <v>285</v>
      </c>
      <c r="X83" s="9">
        <v>0</v>
      </c>
      <c r="Y83" s="9">
        <f t="shared" si="10"/>
        <v>0</v>
      </c>
      <c r="Z83" s="11">
        <v>0</v>
      </c>
      <c r="AA83" s="11" t="s">
        <v>282</v>
      </c>
      <c r="AB83" s="66" t="s">
        <v>193</v>
      </c>
      <c r="AC83" s="11" t="str">
        <f t="shared" si="5"/>
        <v>ENERGISA</v>
      </c>
      <c r="AD83" s="11" t="s">
        <v>183</v>
      </c>
      <c r="AE83" s="10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7" t="s">
        <v>184</v>
      </c>
      <c r="AQ83" s="100">
        <v>0</v>
      </c>
    </row>
    <row r="84" spans="1:43" hidden="1">
      <c r="A84" s="103">
        <v>45170</v>
      </c>
      <c r="B84" s="47" t="s">
        <v>198</v>
      </c>
      <c r="C84" s="2" t="s">
        <v>215</v>
      </c>
      <c r="D84" s="2" t="s">
        <v>216</v>
      </c>
      <c r="E84" s="4" t="s">
        <v>277</v>
      </c>
      <c r="F84" s="4" t="s">
        <v>283</v>
      </c>
      <c r="G84" s="5">
        <v>45175</v>
      </c>
      <c r="H84" s="31">
        <v>2240774</v>
      </c>
      <c r="I84" s="31">
        <v>2240774</v>
      </c>
      <c r="J84" s="52">
        <f t="shared" si="7"/>
        <v>2240.7739999999999</v>
      </c>
      <c r="K84" s="12">
        <v>45191</v>
      </c>
      <c r="L84" s="7" t="s">
        <v>175</v>
      </c>
      <c r="M84" s="34" t="s">
        <v>88</v>
      </c>
      <c r="N84" s="7" t="s">
        <v>191</v>
      </c>
      <c r="O84" s="7" t="s">
        <v>297</v>
      </c>
      <c r="P84" s="7" t="s">
        <v>217</v>
      </c>
      <c r="Q84" s="8" t="s">
        <v>179</v>
      </c>
      <c r="R84" s="9">
        <v>0</v>
      </c>
      <c r="S84" s="54">
        <f t="shared" si="8"/>
        <v>0</v>
      </c>
      <c r="T84" s="9">
        <v>0</v>
      </c>
      <c r="U84" s="54">
        <f t="shared" si="9"/>
        <v>0</v>
      </c>
      <c r="V84" s="10">
        <v>0</v>
      </c>
      <c r="W84" s="11" t="s">
        <v>285</v>
      </c>
      <c r="X84" s="9">
        <v>0</v>
      </c>
      <c r="Y84" s="9">
        <f t="shared" si="10"/>
        <v>0</v>
      </c>
      <c r="Z84" s="11">
        <v>0</v>
      </c>
      <c r="AA84" s="11" t="s">
        <v>282</v>
      </c>
      <c r="AB84" s="66" t="s">
        <v>193</v>
      </c>
      <c r="AC84" s="11" t="str">
        <f t="shared" si="5"/>
        <v>ENERGISA</v>
      </c>
      <c r="AD84" s="11" t="s">
        <v>183</v>
      </c>
      <c r="AE84" s="10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7" t="s">
        <v>184</v>
      </c>
      <c r="AQ84" s="100">
        <v>0</v>
      </c>
    </row>
    <row r="85" spans="1:43" hidden="1">
      <c r="A85" s="103">
        <v>44713</v>
      </c>
      <c r="B85" s="47" t="s">
        <v>187</v>
      </c>
      <c r="C85" s="2" t="s">
        <v>211</v>
      </c>
      <c r="D85" s="2" t="s">
        <v>228</v>
      </c>
      <c r="E85" s="4" t="s">
        <v>186</v>
      </c>
      <c r="F85" s="4" t="s">
        <v>283</v>
      </c>
      <c r="G85" s="5">
        <v>44713</v>
      </c>
      <c r="H85" s="31">
        <v>2244084.7999999998</v>
      </c>
      <c r="I85" s="31">
        <v>2244084.7999999998</v>
      </c>
      <c r="J85" s="52">
        <f t="shared" si="7"/>
        <v>2244.0847999999996</v>
      </c>
      <c r="K85" s="12">
        <v>44736</v>
      </c>
      <c r="L85" s="7" t="s">
        <v>175</v>
      </c>
      <c r="M85" s="34" t="s">
        <v>89</v>
      </c>
      <c r="N85" s="7" t="s">
        <v>202</v>
      </c>
      <c r="O85" s="7" t="s">
        <v>284</v>
      </c>
      <c r="P85" s="7" t="s">
        <v>214</v>
      </c>
      <c r="Q85" s="8" t="s">
        <v>179</v>
      </c>
      <c r="R85" s="9">
        <v>224408480</v>
      </c>
      <c r="S85" s="54">
        <f t="shared" si="8"/>
        <v>224408.48</v>
      </c>
      <c r="T85" s="9">
        <v>201967630</v>
      </c>
      <c r="U85" s="54">
        <f t="shared" si="9"/>
        <v>201967.63</v>
      </c>
      <c r="V85" s="10">
        <v>0.89999999108768081</v>
      </c>
      <c r="W85" s="11" t="s">
        <v>285</v>
      </c>
      <c r="X85" s="9">
        <v>-5030960.41</v>
      </c>
      <c r="Y85" s="9">
        <f t="shared" si="10"/>
        <v>-5030.9604100000006</v>
      </c>
      <c r="Z85" s="10">
        <f>AF85/T85</f>
        <v>-1.9770897643350074E-2</v>
      </c>
      <c r="AA85" s="11" t="s">
        <v>282</v>
      </c>
      <c r="AB85" s="66" t="s">
        <v>204</v>
      </c>
      <c r="AC85" s="11" t="str">
        <f t="shared" si="5"/>
        <v>EQUATORIAL</v>
      </c>
      <c r="AD85" s="11" t="s">
        <v>6</v>
      </c>
      <c r="AE85" s="10">
        <f>SUM(I85+I86+I87+I88+I89+I90)/T85-100%+Z85</f>
        <v>-0.11977089764335005</v>
      </c>
      <c r="AF85" s="9">
        <v>-3993081.34</v>
      </c>
      <c r="AG85" s="9">
        <f>AF85/1000</f>
        <v>-3993.0813399999997</v>
      </c>
      <c r="AH85" s="79">
        <f>AE85*T85</f>
        <v>-24189844.339999996</v>
      </c>
      <c r="AI85" s="79">
        <f>AH85/1000</f>
        <v>-24189.844339999996</v>
      </c>
      <c r="AJ85" s="9">
        <f>AK85*1000</f>
        <v>204007730</v>
      </c>
      <c r="AK85" s="9">
        <v>204007.73</v>
      </c>
      <c r="AL85" s="9">
        <v>0.90900000000000003</v>
      </c>
      <c r="AM85" s="9">
        <f>AN85*1000</f>
        <v>20400750</v>
      </c>
      <c r="AN85" s="9">
        <v>20400.75</v>
      </c>
      <c r="AO85" s="9">
        <v>9.0999999999999998E-2</v>
      </c>
      <c r="AP85" s="97" t="s">
        <v>184</v>
      </c>
      <c r="AQ85" s="100">
        <v>0.9738</v>
      </c>
    </row>
    <row r="86" spans="1:43" hidden="1">
      <c r="A86" s="103">
        <v>44713</v>
      </c>
      <c r="B86" s="47" t="s">
        <v>187</v>
      </c>
      <c r="C86" s="2" t="s">
        <v>211</v>
      </c>
      <c r="D86" s="2" t="s">
        <v>212</v>
      </c>
      <c r="E86" s="4" t="s">
        <v>213</v>
      </c>
      <c r="F86" s="4" t="s">
        <v>283</v>
      </c>
      <c r="G86" s="5">
        <v>44713</v>
      </c>
      <c r="H86" s="31">
        <v>58346204.200000003</v>
      </c>
      <c r="I86" s="31">
        <v>58346204.200000003</v>
      </c>
      <c r="J86" s="52">
        <f t="shared" si="7"/>
        <v>58346.2042</v>
      </c>
      <c r="K86" s="12">
        <v>44736</v>
      </c>
      <c r="L86" s="7" t="s">
        <v>175</v>
      </c>
      <c r="M86" s="34" t="s">
        <v>89</v>
      </c>
      <c r="N86" s="7" t="s">
        <v>202</v>
      </c>
      <c r="O86" s="7" t="s">
        <v>284</v>
      </c>
      <c r="P86" s="7" t="s">
        <v>214</v>
      </c>
      <c r="Q86" s="8" t="s">
        <v>179</v>
      </c>
      <c r="R86" s="9">
        <v>0</v>
      </c>
      <c r="S86" s="54">
        <f t="shared" si="8"/>
        <v>0</v>
      </c>
      <c r="T86" s="9">
        <v>0</v>
      </c>
      <c r="U86" s="54">
        <f t="shared" si="9"/>
        <v>0</v>
      </c>
      <c r="V86" s="11">
        <v>0</v>
      </c>
      <c r="W86" s="11" t="s">
        <v>285</v>
      </c>
      <c r="X86" s="9">
        <v>0</v>
      </c>
      <c r="Y86" s="9">
        <f t="shared" si="10"/>
        <v>0</v>
      </c>
      <c r="Z86" s="11">
        <v>0</v>
      </c>
      <c r="AA86" s="11" t="s">
        <v>282</v>
      </c>
      <c r="AB86" s="66" t="s">
        <v>204</v>
      </c>
      <c r="AC86" s="11" t="str">
        <f t="shared" si="5"/>
        <v>EQUATORIAL</v>
      </c>
      <c r="AD86" s="11" t="s">
        <v>6</v>
      </c>
      <c r="AE86" s="10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7" t="s">
        <v>184</v>
      </c>
      <c r="AQ86" s="100">
        <v>0</v>
      </c>
    </row>
    <row r="87" spans="1:43" hidden="1">
      <c r="A87" s="103">
        <v>45047</v>
      </c>
      <c r="B87" s="47" t="s">
        <v>187</v>
      </c>
      <c r="C87" s="2" t="s">
        <v>211</v>
      </c>
      <c r="D87" s="2" t="s">
        <v>212</v>
      </c>
      <c r="E87" s="4" t="s">
        <v>213</v>
      </c>
      <c r="F87" s="4" t="s">
        <v>283</v>
      </c>
      <c r="G87" s="5">
        <v>45047</v>
      </c>
      <c r="H87" s="31">
        <v>35344335.25</v>
      </c>
      <c r="I87" s="31">
        <v>35344335.25</v>
      </c>
      <c r="J87" s="52">
        <f t="shared" si="7"/>
        <v>35344.335249999996</v>
      </c>
      <c r="K87" s="12">
        <v>45061</v>
      </c>
      <c r="L87" s="7" t="s">
        <v>175</v>
      </c>
      <c r="M87" s="34" t="s">
        <v>89</v>
      </c>
      <c r="N87" s="7" t="s">
        <v>202</v>
      </c>
      <c r="O87" s="84" t="s">
        <v>287</v>
      </c>
      <c r="P87" s="7" t="s">
        <v>214</v>
      </c>
      <c r="Q87" s="8" t="s">
        <v>179</v>
      </c>
      <c r="R87" s="9">
        <v>0</v>
      </c>
      <c r="S87" s="54">
        <f t="shared" si="8"/>
        <v>0</v>
      </c>
      <c r="T87" s="9">
        <v>0</v>
      </c>
      <c r="U87" s="54">
        <f t="shared" si="9"/>
        <v>0</v>
      </c>
      <c r="V87" s="11">
        <v>0</v>
      </c>
      <c r="W87" s="11" t="s">
        <v>285</v>
      </c>
      <c r="X87" s="9">
        <v>0</v>
      </c>
      <c r="Y87" s="9">
        <f t="shared" si="10"/>
        <v>0</v>
      </c>
      <c r="Z87" s="11">
        <v>0</v>
      </c>
      <c r="AA87" s="11" t="s">
        <v>282</v>
      </c>
      <c r="AB87" s="66" t="s">
        <v>204</v>
      </c>
      <c r="AC87" s="11" t="str">
        <f t="shared" si="5"/>
        <v>EQUATORIAL</v>
      </c>
      <c r="AD87" s="11" t="s">
        <v>6</v>
      </c>
      <c r="AE87" s="10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7" t="s">
        <v>184</v>
      </c>
      <c r="AQ87" s="100">
        <v>0</v>
      </c>
    </row>
    <row r="88" spans="1:43" hidden="1">
      <c r="A88" s="103">
        <v>45047</v>
      </c>
      <c r="B88" s="47" t="s">
        <v>187</v>
      </c>
      <c r="C88" s="2" t="s">
        <v>211</v>
      </c>
      <c r="D88" s="2" t="s">
        <v>212</v>
      </c>
      <c r="E88" s="4" t="s">
        <v>213</v>
      </c>
      <c r="F88" s="4" t="s">
        <v>283</v>
      </c>
      <c r="G88" s="5">
        <v>45047</v>
      </c>
      <c r="H88" s="31">
        <v>35344335.25</v>
      </c>
      <c r="I88" s="31">
        <v>35344335.25</v>
      </c>
      <c r="J88" s="52">
        <f t="shared" si="7"/>
        <v>35344.335249999996</v>
      </c>
      <c r="K88" s="12">
        <v>45061</v>
      </c>
      <c r="L88" s="7" t="s">
        <v>175</v>
      </c>
      <c r="M88" s="34" t="s">
        <v>89</v>
      </c>
      <c r="N88" s="7" t="s">
        <v>202</v>
      </c>
      <c r="O88" s="84" t="s">
        <v>296</v>
      </c>
      <c r="P88" s="7" t="s">
        <v>214</v>
      </c>
      <c r="Q88" s="8" t="s">
        <v>179</v>
      </c>
      <c r="R88" s="9">
        <v>0</v>
      </c>
      <c r="S88" s="54">
        <f t="shared" si="8"/>
        <v>0</v>
      </c>
      <c r="T88" s="9">
        <v>0</v>
      </c>
      <c r="U88" s="54">
        <f t="shared" si="9"/>
        <v>0</v>
      </c>
      <c r="V88" s="11">
        <v>0</v>
      </c>
      <c r="W88" s="11" t="s">
        <v>285</v>
      </c>
      <c r="X88" s="9">
        <v>0</v>
      </c>
      <c r="Y88" s="9">
        <f t="shared" si="10"/>
        <v>0</v>
      </c>
      <c r="Z88" s="11">
        <v>0</v>
      </c>
      <c r="AA88" s="11" t="s">
        <v>282</v>
      </c>
      <c r="AB88" s="66" t="s">
        <v>204</v>
      </c>
      <c r="AC88" s="11" t="str">
        <f t="shared" si="5"/>
        <v>EQUATORIAL</v>
      </c>
      <c r="AD88" s="11" t="s">
        <v>6</v>
      </c>
      <c r="AE88" s="10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7" t="s">
        <v>184</v>
      </c>
      <c r="AQ88" s="100">
        <v>0</v>
      </c>
    </row>
    <row r="89" spans="1:43" hidden="1">
      <c r="A89" s="103">
        <v>45200</v>
      </c>
      <c r="B89" s="47" t="s">
        <v>187</v>
      </c>
      <c r="C89" s="2" t="s">
        <v>211</v>
      </c>
      <c r="D89" s="2" t="s">
        <v>212</v>
      </c>
      <c r="E89" s="4" t="s">
        <v>213</v>
      </c>
      <c r="F89" s="4" t="s">
        <v>283</v>
      </c>
      <c r="G89" s="5">
        <v>45201</v>
      </c>
      <c r="H89" s="31">
        <v>30295144.5</v>
      </c>
      <c r="I89" s="31">
        <v>30295144.5</v>
      </c>
      <c r="J89" s="52">
        <f t="shared" si="7"/>
        <v>30295.144499999999</v>
      </c>
      <c r="K89" s="12">
        <v>45226</v>
      </c>
      <c r="L89" s="7" t="s">
        <v>175</v>
      </c>
      <c r="M89" s="34" t="s">
        <v>89</v>
      </c>
      <c r="N89" s="7" t="s">
        <v>202</v>
      </c>
      <c r="O89" s="7" t="s">
        <v>289</v>
      </c>
      <c r="P89" s="7" t="s">
        <v>214</v>
      </c>
      <c r="Q89" s="8" t="s">
        <v>179</v>
      </c>
      <c r="R89" s="9">
        <v>0</v>
      </c>
      <c r="S89" s="54">
        <f t="shared" si="8"/>
        <v>0</v>
      </c>
      <c r="T89" s="9">
        <v>0</v>
      </c>
      <c r="U89" s="54">
        <f t="shared" si="9"/>
        <v>0</v>
      </c>
      <c r="V89" s="11">
        <v>0</v>
      </c>
      <c r="W89" s="11" t="s">
        <v>285</v>
      </c>
      <c r="X89" s="9">
        <v>0</v>
      </c>
      <c r="Y89" s="9">
        <f t="shared" si="10"/>
        <v>0</v>
      </c>
      <c r="Z89" s="11">
        <v>0</v>
      </c>
      <c r="AA89" s="11" t="s">
        <v>282</v>
      </c>
      <c r="AB89" s="66" t="s">
        <v>204</v>
      </c>
      <c r="AC89" s="11" t="str">
        <f t="shared" ref="AC89:AC152" si="11">B89</f>
        <v>EQUATORIAL</v>
      </c>
      <c r="AD89" s="11" t="s">
        <v>6</v>
      </c>
      <c r="AE89" s="10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7" t="s">
        <v>184</v>
      </c>
      <c r="AQ89" s="100">
        <v>0</v>
      </c>
    </row>
    <row r="90" spans="1:43" hidden="1">
      <c r="A90" s="103">
        <v>45200</v>
      </c>
      <c r="B90" s="47" t="s">
        <v>187</v>
      </c>
      <c r="C90" s="2" t="s">
        <v>211</v>
      </c>
      <c r="D90" s="2" t="s">
        <v>212</v>
      </c>
      <c r="E90" s="4" t="s">
        <v>213</v>
      </c>
      <c r="F90" s="4" t="s">
        <v>283</v>
      </c>
      <c r="G90" s="5">
        <v>45201</v>
      </c>
      <c r="H90" s="31">
        <v>20196763</v>
      </c>
      <c r="I90" s="31">
        <v>20196763</v>
      </c>
      <c r="J90" s="52">
        <f t="shared" si="7"/>
        <v>20196.762999999999</v>
      </c>
      <c r="K90" s="12">
        <v>45226</v>
      </c>
      <c r="L90" s="7" t="s">
        <v>175</v>
      </c>
      <c r="M90" s="34" t="s">
        <v>89</v>
      </c>
      <c r="N90" s="7" t="s">
        <v>202</v>
      </c>
      <c r="O90" s="7" t="s">
        <v>297</v>
      </c>
      <c r="P90" s="7" t="s">
        <v>214</v>
      </c>
      <c r="Q90" s="8" t="s">
        <v>179</v>
      </c>
      <c r="R90" s="9">
        <v>0</v>
      </c>
      <c r="S90" s="54">
        <f t="shared" si="8"/>
        <v>0</v>
      </c>
      <c r="T90" s="9">
        <v>0</v>
      </c>
      <c r="U90" s="54">
        <f t="shared" si="9"/>
        <v>0</v>
      </c>
      <c r="V90" s="11">
        <v>0</v>
      </c>
      <c r="W90" s="11" t="s">
        <v>285</v>
      </c>
      <c r="X90" s="9">
        <v>0</v>
      </c>
      <c r="Y90" s="9">
        <f t="shared" si="10"/>
        <v>0</v>
      </c>
      <c r="Z90" s="11">
        <v>0</v>
      </c>
      <c r="AA90" s="11" t="s">
        <v>282</v>
      </c>
      <c r="AB90" s="66" t="s">
        <v>204</v>
      </c>
      <c r="AC90" s="11" t="str">
        <f t="shared" si="11"/>
        <v>EQUATORIAL</v>
      </c>
      <c r="AD90" s="11" t="s">
        <v>6</v>
      </c>
      <c r="AE90" s="10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7" t="s">
        <v>184</v>
      </c>
      <c r="AQ90" s="100">
        <v>0</v>
      </c>
    </row>
    <row r="91" spans="1:43" hidden="1">
      <c r="A91" s="103">
        <v>45017</v>
      </c>
      <c r="B91" s="47" t="s">
        <v>187</v>
      </c>
      <c r="C91" s="2" t="s">
        <v>188</v>
      </c>
      <c r="D91" s="2" t="s">
        <v>307</v>
      </c>
      <c r="E91" s="4" t="s">
        <v>308</v>
      </c>
      <c r="F91" s="4" t="s">
        <v>283</v>
      </c>
      <c r="G91" s="5">
        <v>45017</v>
      </c>
      <c r="H91" s="31">
        <v>26608758.300000001</v>
      </c>
      <c r="I91" s="31">
        <v>26608758.300000001</v>
      </c>
      <c r="J91" s="52">
        <f t="shared" si="7"/>
        <v>26608.758300000001</v>
      </c>
      <c r="K91" s="12">
        <v>45030</v>
      </c>
      <c r="L91" s="7" t="s">
        <v>175</v>
      </c>
      <c r="M91" s="34" t="s">
        <v>41</v>
      </c>
      <c r="N91" s="7" t="s">
        <v>191</v>
      </c>
      <c r="O91" s="7" t="s">
        <v>284</v>
      </c>
      <c r="P91" s="7" t="s">
        <v>192</v>
      </c>
      <c r="Q91" s="8" t="s">
        <v>179</v>
      </c>
      <c r="R91" s="9">
        <v>102341370</v>
      </c>
      <c r="S91" s="54">
        <f t="shared" si="8"/>
        <v>102341.37</v>
      </c>
      <c r="T91" s="9">
        <v>92107240</v>
      </c>
      <c r="U91" s="54">
        <f t="shared" si="9"/>
        <v>92107.24</v>
      </c>
      <c r="V91" s="10">
        <v>0.90000006839853719</v>
      </c>
      <c r="W91" s="11" t="s">
        <v>285</v>
      </c>
      <c r="X91" s="9">
        <v>-19081341.760000002</v>
      </c>
      <c r="Y91" s="9">
        <f t="shared" si="10"/>
        <v>-19081.341760000003</v>
      </c>
      <c r="Z91" s="10">
        <f>X91/T91</f>
        <v>-0.20716440705421205</v>
      </c>
      <c r="AA91" s="11" t="s">
        <v>36</v>
      </c>
      <c r="AB91" s="66" t="s">
        <v>193</v>
      </c>
      <c r="AC91" s="11" t="str">
        <f t="shared" si="11"/>
        <v>EQUATORIAL</v>
      </c>
      <c r="AD91" s="11" t="s">
        <v>6</v>
      </c>
      <c r="AE91" s="10">
        <f>SUM(I91+I92+I93+I94+I95+I96)/T91-100%+Z91</f>
        <v>-0.307164407054212</v>
      </c>
      <c r="AF91" s="9">
        <v>-19081341.760000002</v>
      </c>
      <c r="AG91" s="9">
        <f>AF91/1000</f>
        <v>-19081.341760000003</v>
      </c>
      <c r="AH91" s="79">
        <f>AE91*T91</f>
        <v>-28292065.759999998</v>
      </c>
      <c r="AI91" s="9">
        <f>AH91/1000</f>
        <v>-28292.065759999998</v>
      </c>
      <c r="AJ91" s="9">
        <f>AK91*1000</f>
        <v>93037610</v>
      </c>
      <c r="AK91" s="9">
        <v>93037.61</v>
      </c>
      <c r="AL91" s="9">
        <v>0.90900000000000003</v>
      </c>
      <c r="AM91" s="9">
        <f>AN91*1000</f>
        <v>9303760</v>
      </c>
      <c r="AN91" s="9">
        <v>9303.76</v>
      </c>
      <c r="AO91" s="9">
        <v>0.91</v>
      </c>
      <c r="AP91" s="97" t="s">
        <v>184</v>
      </c>
      <c r="AQ91" s="100">
        <v>1</v>
      </c>
    </row>
    <row r="92" spans="1:43" hidden="1">
      <c r="A92" s="103">
        <v>45261</v>
      </c>
      <c r="B92" s="47" t="s">
        <v>187</v>
      </c>
      <c r="C92" s="2" t="s">
        <v>188</v>
      </c>
      <c r="D92" s="2" t="s">
        <v>307</v>
      </c>
      <c r="E92" s="4" t="s">
        <v>308</v>
      </c>
      <c r="F92" s="4" t="s">
        <v>283</v>
      </c>
      <c r="G92" s="5">
        <v>45261</v>
      </c>
      <c r="H92" s="31">
        <v>18421448</v>
      </c>
      <c r="I92" s="31">
        <v>18421448</v>
      </c>
      <c r="J92" s="52">
        <f t="shared" si="7"/>
        <v>18421.448</v>
      </c>
      <c r="K92" s="12">
        <v>45274</v>
      </c>
      <c r="L92" s="7" t="s">
        <v>175</v>
      </c>
      <c r="M92" s="34" t="s">
        <v>41</v>
      </c>
      <c r="N92" s="7" t="s">
        <v>191</v>
      </c>
      <c r="O92" s="7" t="s">
        <v>287</v>
      </c>
      <c r="P92" s="7" t="s">
        <v>192</v>
      </c>
      <c r="Q92" s="8" t="s">
        <v>179</v>
      </c>
      <c r="R92" s="9">
        <v>0</v>
      </c>
      <c r="S92" s="54">
        <f t="shared" si="8"/>
        <v>0</v>
      </c>
      <c r="T92" s="9">
        <v>0</v>
      </c>
      <c r="U92" s="54">
        <f t="shared" si="9"/>
        <v>0</v>
      </c>
      <c r="V92" s="11">
        <v>0</v>
      </c>
      <c r="W92" s="11" t="s">
        <v>285</v>
      </c>
      <c r="X92" s="9">
        <v>0</v>
      </c>
      <c r="Y92" s="9">
        <f t="shared" si="10"/>
        <v>0</v>
      </c>
      <c r="Z92" s="11">
        <v>0</v>
      </c>
      <c r="AA92" s="11" t="s">
        <v>36</v>
      </c>
      <c r="AB92" s="66" t="s">
        <v>193</v>
      </c>
      <c r="AC92" s="11" t="str">
        <f t="shared" si="11"/>
        <v>EQUATORIAL</v>
      </c>
      <c r="AD92" s="11" t="s">
        <v>6</v>
      </c>
      <c r="AE92" s="10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7" t="s">
        <v>184</v>
      </c>
      <c r="AQ92" s="100">
        <v>0</v>
      </c>
    </row>
    <row r="93" spans="1:43" hidden="1">
      <c r="A93" s="103">
        <v>45017</v>
      </c>
      <c r="B93" s="47" t="s">
        <v>187</v>
      </c>
      <c r="C93" s="2" t="s">
        <v>188</v>
      </c>
      <c r="D93" s="2" t="s">
        <v>228</v>
      </c>
      <c r="E93" s="4" t="s">
        <v>186</v>
      </c>
      <c r="F93" s="4" t="s">
        <v>283</v>
      </c>
      <c r="G93" s="5">
        <v>45017</v>
      </c>
      <c r="H93" s="31">
        <v>1023413.7</v>
      </c>
      <c r="I93" s="31">
        <v>1023413.7</v>
      </c>
      <c r="J93" s="52">
        <f t="shared" si="7"/>
        <v>1023.4136999999999</v>
      </c>
      <c r="K93" s="12">
        <v>45030</v>
      </c>
      <c r="L93" s="7" t="s">
        <v>175</v>
      </c>
      <c r="M93" s="34" t="s">
        <v>41</v>
      </c>
      <c r="N93" s="7" t="s">
        <v>191</v>
      </c>
      <c r="O93" s="7" t="s">
        <v>284</v>
      </c>
      <c r="P93" s="7" t="s">
        <v>192</v>
      </c>
      <c r="Q93" s="8" t="s">
        <v>179</v>
      </c>
      <c r="R93" s="9">
        <v>0</v>
      </c>
      <c r="S93" s="54">
        <f t="shared" si="8"/>
        <v>0</v>
      </c>
      <c r="T93" s="9">
        <v>0</v>
      </c>
      <c r="U93" s="54">
        <f t="shared" si="9"/>
        <v>0</v>
      </c>
      <c r="V93" s="10">
        <v>0</v>
      </c>
      <c r="W93" s="11" t="s">
        <v>285</v>
      </c>
      <c r="X93" s="9">
        <v>0</v>
      </c>
      <c r="Y93" s="9">
        <f t="shared" si="10"/>
        <v>0</v>
      </c>
      <c r="Z93" s="11">
        <v>0</v>
      </c>
      <c r="AA93" s="11" t="s">
        <v>36</v>
      </c>
      <c r="AB93" s="66" t="s">
        <v>193</v>
      </c>
      <c r="AC93" s="11" t="str">
        <f t="shared" si="11"/>
        <v>EQUATORIAL</v>
      </c>
      <c r="AD93" s="11" t="s">
        <v>6</v>
      </c>
      <c r="AE93" s="10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7" t="s">
        <v>184</v>
      </c>
      <c r="AQ93" s="100">
        <v>0</v>
      </c>
    </row>
    <row r="94" spans="1:43" hidden="1">
      <c r="A94" s="103">
        <v>45323</v>
      </c>
      <c r="B94" s="47" t="s">
        <v>187</v>
      </c>
      <c r="C94" s="2" t="s">
        <v>188</v>
      </c>
      <c r="D94" s="2" t="s">
        <v>307</v>
      </c>
      <c r="E94" s="4" t="s">
        <v>308</v>
      </c>
      <c r="F94" s="4" t="s">
        <v>283</v>
      </c>
      <c r="G94" s="5">
        <v>45323</v>
      </c>
      <c r="H94" s="31">
        <v>13816086</v>
      </c>
      <c r="I94" s="31">
        <v>13816086</v>
      </c>
      <c r="J94" s="52">
        <f t="shared" si="7"/>
        <v>13816.085999999999</v>
      </c>
      <c r="K94" s="12">
        <v>45331</v>
      </c>
      <c r="L94" s="7" t="s">
        <v>175</v>
      </c>
      <c r="M94" s="34" t="s">
        <v>41</v>
      </c>
      <c r="N94" s="7" t="s">
        <v>191</v>
      </c>
      <c r="O94" s="7" t="s">
        <v>296</v>
      </c>
      <c r="P94" s="7" t="s">
        <v>192</v>
      </c>
      <c r="Q94" s="8" t="s">
        <v>179</v>
      </c>
      <c r="R94" s="9">
        <v>0</v>
      </c>
      <c r="S94" s="54">
        <f t="shared" si="8"/>
        <v>0</v>
      </c>
      <c r="T94" s="9">
        <v>0</v>
      </c>
      <c r="U94" s="54">
        <f t="shared" si="9"/>
        <v>0</v>
      </c>
      <c r="V94" s="11">
        <v>0</v>
      </c>
      <c r="W94" s="11" t="s">
        <v>285</v>
      </c>
      <c r="X94" s="9">
        <v>0</v>
      </c>
      <c r="Y94" s="9">
        <f t="shared" si="10"/>
        <v>0</v>
      </c>
      <c r="Z94" s="11">
        <v>0</v>
      </c>
      <c r="AA94" s="11" t="s">
        <v>36</v>
      </c>
      <c r="AB94" s="66" t="s">
        <v>193</v>
      </c>
      <c r="AC94" s="11" t="str">
        <f t="shared" si="11"/>
        <v>EQUATORIAL</v>
      </c>
      <c r="AD94" s="11" t="s">
        <v>6</v>
      </c>
      <c r="AE94" s="10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7" t="s">
        <v>184</v>
      </c>
      <c r="AQ94" s="100">
        <v>0</v>
      </c>
    </row>
    <row r="95" spans="1:43" hidden="1">
      <c r="A95" s="103">
        <v>45352</v>
      </c>
      <c r="B95" s="47" t="s">
        <v>187</v>
      </c>
      <c r="C95" s="2" t="s">
        <v>188</v>
      </c>
      <c r="D95" s="2" t="s">
        <v>307</v>
      </c>
      <c r="E95" s="4" t="s">
        <v>308</v>
      </c>
      <c r="F95" s="4" t="s">
        <v>283</v>
      </c>
      <c r="G95" s="5">
        <v>45352</v>
      </c>
      <c r="H95" s="31">
        <v>13816086</v>
      </c>
      <c r="I95" s="31">
        <v>13816086</v>
      </c>
      <c r="J95" s="52">
        <f t="shared" si="7"/>
        <v>13816.085999999999</v>
      </c>
      <c r="K95" s="12">
        <v>45379</v>
      </c>
      <c r="L95" s="7" t="s">
        <v>175</v>
      </c>
      <c r="M95" s="34" t="s">
        <v>41</v>
      </c>
      <c r="N95" s="7" t="s">
        <v>191</v>
      </c>
      <c r="O95" s="7" t="s">
        <v>289</v>
      </c>
      <c r="P95" s="7" t="s">
        <v>192</v>
      </c>
      <c r="Q95" s="8" t="s">
        <v>179</v>
      </c>
      <c r="R95" s="9">
        <v>0</v>
      </c>
      <c r="S95" s="54">
        <f t="shared" si="8"/>
        <v>0</v>
      </c>
      <c r="T95" s="9">
        <v>0</v>
      </c>
      <c r="U95" s="54">
        <f t="shared" si="9"/>
        <v>0</v>
      </c>
      <c r="V95" s="11">
        <v>0</v>
      </c>
      <c r="W95" s="11" t="s">
        <v>285</v>
      </c>
      <c r="X95" s="9">
        <v>0</v>
      </c>
      <c r="Y95" s="9">
        <f t="shared" si="10"/>
        <v>0</v>
      </c>
      <c r="Z95" s="11">
        <v>0</v>
      </c>
      <c r="AA95" s="11" t="s">
        <v>36</v>
      </c>
      <c r="AB95" s="66" t="s">
        <v>193</v>
      </c>
      <c r="AC95" s="11" t="str">
        <f t="shared" si="11"/>
        <v>EQUATORIAL</v>
      </c>
      <c r="AD95" s="11" t="s">
        <v>6</v>
      </c>
      <c r="AE95" s="10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7" t="s">
        <v>184</v>
      </c>
      <c r="AQ95" s="100">
        <v>0</v>
      </c>
    </row>
    <row r="96" spans="1:43" hidden="1">
      <c r="A96" s="103">
        <v>45413</v>
      </c>
      <c r="B96" s="47" t="s">
        <v>187</v>
      </c>
      <c r="C96" s="2" t="s">
        <v>188</v>
      </c>
      <c r="D96" s="2" t="s">
        <v>307</v>
      </c>
      <c r="E96" s="4" t="s">
        <v>308</v>
      </c>
      <c r="F96" s="4" t="s">
        <v>283</v>
      </c>
      <c r="G96" s="5">
        <v>45413</v>
      </c>
      <c r="H96" s="31">
        <v>9210724</v>
      </c>
      <c r="I96" s="31">
        <v>9210724</v>
      </c>
      <c r="J96" s="52">
        <f t="shared" si="7"/>
        <v>9210.7240000000002</v>
      </c>
      <c r="K96" s="12">
        <v>45421</v>
      </c>
      <c r="L96" s="7" t="s">
        <v>175</v>
      </c>
      <c r="M96" s="34" t="s">
        <v>41</v>
      </c>
      <c r="N96" s="7" t="s">
        <v>191</v>
      </c>
      <c r="O96" s="7" t="s">
        <v>297</v>
      </c>
      <c r="P96" s="7" t="s">
        <v>192</v>
      </c>
      <c r="Q96" s="8" t="s">
        <v>179</v>
      </c>
      <c r="R96" s="9">
        <v>0</v>
      </c>
      <c r="S96" s="54">
        <f t="shared" si="8"/>
        <v>0</v>
      </c>
      <c r="T96" s="9">
        <v>0</v>
      </c>
      <c r="U96" s="54">
        <f t="shared" si="9"/>
        <v>0</v>
      </c>
      <c r="V96" s="11">
        <v>0</v>
      </c>
      <c r="W96" s="11" t="s">
        <v>285</v>
      </c>
      <c r="X96" s="9">
        <v>0</v>
      </c>
      <c r="Y96" s="9">
        <f t="shared" si="10"/>
        <v>0</v>
      </c>
      <c r="Z96" s="11">
        <v>0</v>
      </c>
      <c r="AA96" s="11" t="s">
        <v>36</v>
      </c>
      <c r="AB96" s="66" t="s">
        <v>193</v>
      </c>
      <c r="AC96" s="11" t="str">
        <f t="shared" si="11"/>
        <v>EQUATORIAL</v>
      </c>
      <c r="AD96" s="11" t="s">
        <v>6</v>
      </c>
      <c r="AE96" s="10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7" t="s">
        <v>184</v>
      </c>
      <c r="AQ96" s="100">
        <v>0</v>
      </c>
    </row>
    <row r="97" spans="1:43" hidden="1">
      <c r="A97" s="103">
        <v>45017</v>
      </c>
      <c r="B97" s="47" t="s">
        <v>187</v>
      </c>
      <c r="C97" s="2" t="s">
        <v>211</v>
      </c>
      <c r="D97" s="2" t="s">
        <v>228</v>
      </c>
      <c r="E97" s="4" t="s">
        <v>186</v>
      </c>
      <c r="F97" s="4" t="s">
        <v>283</v>
      </c>
      <c r="G97" s="5">
        <v>45017</v>
      </c>
      <c r="H97" s="31">
        <v>8340639.5999999996</v>
      </c>
      <c r="I97" s="31">
        <v>8340639.5999999996</v>
      </c>
      <c r="J97" s="52">
        <f t="shared" si="7"/>
        <v>8340.6396000000004</v>
      </c>
      <c r="K97" s="12">
        <v>45030</v>
      </c>
      <c r="L97" s="7" t="s">
        <v>175</v>
      </c>
      <c r="M97" s="34" t="s">
        <v>49</v>
      </c>
      <c r="N97" s="7" t="s">
        <v>208</v>
      </c>
      <c r="O97" s="7" t="s">
        <v>284</v>
      </c>
      <c r="P97" s="7" t="s">
        <v>214</v>
      </c>
      <c r="Q97" s="8" t="s">
        <v>179</v>
      </c>
      <c r="R97" s="9">
        <v>834063960</v>
      </c>
      <c r="S97" s="54">
        <f t="shared" si="8"/>
        <v>834063.96</v>
      </c>
      <c r="T97" s="9">
        <v>750657560</v>
      </c>
      <c r="U97" s="54">
        <f t="shared" si="9"/>
        <v>750657.56</v>
      </c>
      <c r="V97" s="10">
        <v>0.89999999520420471</v>
      </c>
      <c r="W97" s="11" t="s">
        <v>285</v>
      </c>
      <c r="X97" s="9">
        <v>-57486837.799999997</v>
      </c>
      <c r="Y97" s="9">
        <f t="shared" si="10"/>
        <v>-57486.837799999994</v>
      </c>
      <c r="Z97" s="10">
        <f>X97/T97</f>
        <v>-7.6581974076168624E-2</v>
      </c>
      <c r="AA97" s="11" t="s">
        <v>292</v>
      </c>
      <c r="AB97" s="66" t="s">
        <v>210</v>
      </c>
      <c r="AC97" s="11" t="str">
        <f t="shared" si="11"/>
        <v>EQUATORIAL</v>
      </c>
      <c r="AD97" s="11" t="s">
        <v>6</v>
      </c>
      <c r="AE97" s="10">
        <f>SUM(I97+I98+I99+I100+I101+I102)/T97-100%+Z97</f>
        <v>-0.1765819740761686</v>
      </c>
      <c r="AF97" s="9">
        <v>-57486837.799999997</v>
      </c>
      <c r="AG97" s="9">
        <f>AF97/1000</f>
        <v>-57486.837799999994</v>
      </c>
      <c r="AH97" s="79">
        <f>AE97*T97</f>
        <v>-132552593.79999998</v>
      </c>
      <c r="AI97" s="9">
        <f>AH97/1000</f>
        <v>-132552.59379999997</v>
      </c>
      <c r="AJ97" s="9">
        <f>AK97*1000</f>
        <v>758240140</v>
      </c>
      <c r="AK97" s="9">
        <v>758240.14</v>
      </c>
      <c r="AL97" s="9">
        <v>0.90900000000000003</v>
      </c>
      <c r="AM97" s="9">
        <f>AN97*1000</f>
        <v>75823820</v>
      </c>
      <c r="AN97" s="9">
        <v>75823.820000000007</v>
      </c>
      <c r="AO97" s="9">
        <v>0.91</v>
      </c>
      <c r="AP97" s="97" t="s">
        <v>309</v>
      </c>
      <c r="AQ97" s="100">
        <v>0.99739999999999995</v>
      </c>
    </row>
    <row r="98" spans="1:43" hidden="1">
      <c r="A98" s="103">
        <v>45017</v>
      </c>
      <c r="B98" s="47" t="s">
        <v>187</v>
      </c>
      <c r="C98" s="2" t="s">
        <v>211</v>
      </c>
      <c r="D98" s="2" t="s">
        <v>212</v>
      </c>
      <c r="E98" s="4" t="s">
        <v>213</v>
      </c>
      <c r="F98" s="4" t="s">
        <v>283</v>
      </c>
      <c r="G98" s="5">
        <v>45017</v>
      </c>
      <c r="H98" s="31">
        <v>216856628.40000001</v>
      </c>
      <c r="I98" s="31">
        <v>216856628.40000001</v>
      </c>
      <c r="J98" s="52">
        <f t="shared" ref="J98:J110" si="12">I98/1000</f>
        <v>216856.62840000002</v>
      </c>
      <c r="K98" s="12">
        <v>45030</v>
      </c>
      <c r="L98" s="7" t="s">
        <v>175</v>
      </c>
      <c r="M98" s="34" t="s">
        <v>49</v>
      </c>
      <c r="N98" s="7" t="s">
        <v>208</v>
      </c>
      <c r="O98" s="7" t="s">
        <v>284</v>
      </c>
      <c r="P98" s="7" t="s">
        <v>214</v>
      </c>
      <c r="Q98" s="8" t="s">
        <v>179</v>
      </c>
      <c r="R98" s="9">
        <v>0</v>
      </c>
      <c r="S98" s="54">
        <f t="shared" si="8"/>
        <v>0</v>
      </c>
      <c r="T98" s="9">
        <v>0</v>
      </c>
      <c r="U98" s="54">
        <f t="shared" si="9"/>
        <v>0</v>
      </c>
      <c r="V98" s="11">
        <v>0</v>
      </c>
      <c r="W98" s="11" t="s">
        <v>285</v>
      </c>
      <c r="X98" s="9">
        <v>0</v>
      </c>
      <c r="Y98" s="9">
        <f t="shared" si="10"/>
        <v>0</v>
      </c>
      <c r="Z98" s="11">
        <v>0</v>
      </c>
      <c r="AA98" s="11" t="s">
        <v>292</v>
      </c>
      <c r="AB98" s="66" t="s">
        <v>210</v>
      </c>
      <c r="AC98" s="11" t="str">
        <f t="shared" si="11"/>
        <v>EQUATORIAL</v>
      </c>
      <c r="AD98" s="11" t="s">
        <v>6</v>
      </c>
      <c r="AE98" s="10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7" t="s">
        <v>184</v>
      </c>
      <c r="AQ98" s="100">
        <v>0</v>
      </c>
    </row>
    <row r="99" spans="1:43" hidden="1">
      <c r="A99" s="103">
        <v>45231</v>
      </c>
      <c r="B99" s="47" t="s">
        <v>187</v>
      </c>
      <c r="C99" s="2" t="s">
        <v>211</v>
      </c>
      <c r="D99" s="2" t="s">
        <v>212</v>
      </c>
      <c r="E99" s="4" t="s">
        <v>213</v>
      </c>
      <c r="F99" s="4" t="s">
        <v>283</v>
      </c>
      <c r="G99" s="5">
        <v>45259</v>
      </c>
      <c r="H99" s="31">
        <v>150131512</v>
      </c>
      <c r="I99" s="31">
        <v>150131512</v>
      </c>
      <c r="J99" s="52">
        <f t="shared" si="12"/>
        <v>150131.51199999999</v>
      </c>
      <c r="K99" s="12">
        <v>45254</v>
      </c>
      <c r="L99" s="7" t="s">
        <v>175</v>
      </c>
      <c r="M99" s="34" t="s">
        <v>49</v>
      </c>
      <c r="N99" s="7" t="s">
        <v>208</v>
      </c>
      <c r="O99" s="7" t="s">
        <v>287</v>
      </c>
      <c r="P99" s="7" t="s">
        <v>214</v>
      </c>
      <c r="Q99" s="8" t="s">
        <v>179</v>
      </c>
      <c r="R99" s="9">
        <v>0</v>
      </c>
      <c r="S99" s="54">
        <f t="shared" si="8"/>
        <v>0</v>
      </c>
      <c r="T99" s="9">
        <v>0</v>
      </c>
      <c r="U99" s="54">
        <f t="shared" si="9"/>
        <v>0</v>
      </c>
      <c r="V99" s="11">
        <v>0</v>
      </c>
      <c r="W99" s="11" t="s">
        <v>285</v>
      </c>
      <c r="X99" s="9">
        <v>0</v>
      </c>
      <c r="Y99" s="9">
        <f t="shared" si="10"/>
        <v>0</v>
      </c>
      <c r="Z99" s="11">
        <v>0</v>
      </c>
      <c r="AA99" s="11" t="s">
        <v>292</v>
      </c>
      <c r="AB99" s="66" t="s">
        <v>210</v>
      </c>
      <c r="AC99" s="11" t="str">
        <f t="shared" si="11"/>
        <v>EQUATORIAL</v>
      </c>
      <c r="AD99" s="11" t="s">
        <v>6</v>
      </c>
      <c r="AE99" s="10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7" t="s">
        <v>184</v>
      </c>
      <c r="AQ99" s="100">
        <v>0</v>
      </c>
    </row>
    <row r="100" spans="1:43" hidden="1">
      <c r="A100" s="103">
        <v>45292</v>
      </c>
      <c r="B100" s="47" t="s">
        <v>187</v>
      </c>
      <c r="C100" s="2" t="s">
        <v>211</v>
      </c>
      <c r="D100" s="2" t="s">
        <v>212</v>
      </c>
      <c r="E100" s="4" t="s">
        <v>213</v>
      </c>
      <c r="F100" s="4" t="s">
        <v>283</v>
      </c>
      <c r="G100" s="5">
        <v>45262</v>
      </c>
      <c r="H100" s="31">
        <v>112598634</v>
      </c>
      <c r="I100" s="31">
        <v>112598634</v>
      </c>
      <c r="J100" s="52">
        <f t="shared" si="12"/>
        <v>112598.63400000001</v>
      </c>
      <c r="K100" s="12">
        <v>45296</v>
      </c>
      <c r="L100" s="7" t="s">
        <v>175</v>
      </c>
      <c r="M100" s="34" t="s">
        <v>49</v>
      </c>
      <c r="N100" s="7" t="s">
        <v>208</v>
      </c>
      <c r="O100" s="7" t="s">
        <v>296</v>
      </c>
      <c r="P100" s="7" t="s">
        <v>214</v>
      </c>
      <c r="Q100" s="8" t="s">
        <v>179</v>
      </c>
      <c r="R100" s="9">
        <v>0</v>
      </c>
      <c r="S100" s="54">
        <f t="shared" si="8"/>
        <v>0</v>
      </c>
      <c r="T100" s="9">
        <v>0</v>
      </c>
      <c r="U100" s="54">
        <f t="shared" si="9"/>
        <v>0</v>
      </c>
      <c r="V100" s="11">
        <v>0</v>
      </c>
      <c r="W100" s="11" t="s">
        <v>285</v>
      </c>
      <c r="X100" s="9">
        <v>0</v>
      </c>
      <c r="Y100" s="9">
        <f t="shared" si="10"/>
        <v>0</v>
      </c>
      <c r="Z100" s="11">
        <v>0</v>
      </c>
      <c r="AA100" s="11" t="s">
        <v>292</v>
      </c>
      <c r="AB100" s="66" t="s">
        <v>210</v>
      </c>
      <c r="AC100" s="11" t="str">
        <f t="shared" si="11"/>
        <v>EQUATORIAL</v>
      </c>
      <c r="AD100" s="11" t="s">
        <v>6</v>
      </c>
      <c r="AE100" s="10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7" t="s">
        <v>184</v>
      </c>
      <c r="AQ100" s="100">
        <v>0</v>
      </c>
    </row>
    <row r="101" spans="1:43" hidden="1">
      <c r="A101" s="103">
        <v>45383</v>
      </c>
      <c r="B101" s="47" t="s">
        <v>187</v>
      </c>
      <c r="C101" s="2" t="s">
        <v>211</v>
      </c>
      <c r="D101" s="2" t="s">
        <v>212</v>
      </c>
      <c r="E101" s="4" t="s">
        <v>213</v>
      </c>
      <c r="F101" s="4" t="s">
        <v>283</v>
      </c>
      <c r="G101" s="5">
        <v>45383</v>
      </c>
      <c r="H101" s="31">
        <v>112598634</v>
      </c>
      <c r="I101" s="31">
        <v>112598634</v>
      </c>
      <c r="J101" s="52">
        <f t="shared" si="12"/>
        <v>112598.63400000001</v>
      </c>
      <c r="K101" s="12">
        <v>45412</v>
      </c>
      <c r="L101" s="7" t="s">
        <v>175</v>
      </c>
      <c r="M101" s="34" t="s">
        <v>49</v>
      </c>
      <c r="N101" s="7" t="s">
        <v>208</v>
      </c>
      <c r="O101" s="7" t="s">
        <v>289</v>
      </c>
      <c r="P101" s="7" t="s">
        <v>214</v>
      </c>
      <c r="Q101" s="8" t="s">
        <v>179</v>
      </c>
      <c r="R101" s="9">
        <v>0</v>
      </c>
      <c r="S101" s="54">
        <f t="shared" si="8"/>
        <v>0</v>
      </c>
      <c r="T101" s="9">
        <v>0</v>
      </c>
      <c r="U101" s="54">
        <f t="shared" si="9"/>
        <v>0</v>
      </c>
      <c r="V101" s="11">
        <v>0</v>
      </c>
      <c r="W101" s="11" t="s">
        <v>285</v>
      </c>
      <c r="X101" s="9">
        <v>0</v>
      </c>
      <c r="Y101" s="9">
        <f t="shared" si="10"/>
        <v>0</v>
      </c>
      <c r="Z101" s="11">
        <v>0</v>
      </c>
      <c r="AA101" s="11" t="s">
        <v>292</v>
      </c>
      <c r="AB101" s="66" t="s">
        <v>210</v>
      </c>
      <c r="AC101" s="11" t="str">
        <f t="shared" si="11"/>
        <v>EQUATORIAL</v>
      </c>
      <c r="AD101" s="11" t="s">
        <v>6</v>
      </c>
      <c r="AE101" s="10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7" t="s">
        <v>184</v>
      </c>
      <c r="AQ101" s="100">
        <v>0</v>
      </c>
    </row>
    <row r="102" spans="1:43" hidden="1">
      <c r="A102" s="103">
        <v>45505</v>
      </c>
      <c r="B102" s="47" t="s">
        <v>187</v>
      </c>
      <c r="C102" s="13" t="s">
        <v>211</v>
      </c>
      <c r="D102" s="2" t="s">
        <v>212</v>
      </c>
      <c r="E102" s="4" t="s">
        <v>213</v>
      </c>
      <c r="F102" s="4" t="s">
        <v>283</v>
      </c>
      <c r="G102" s="5">
        <v>45505</v>
      </c>
      <c r="H102" s="31">
        <v>75065756</v>
      </c>
      <c r="I102" s="31">
        <v>75065756</v>
      </c>
      <c r="J102" s="52">
        <f t="shared" si="12"/>
        <v>75065.755999999994</v>
      </c>
      <c r="K102" s="12">
        <v>45534</v>
      </c>
      <c r="L102" s="7" t="s">
        <v>175</v>
      </c>
      <c r="M102" s="34" t="s">
        <v>49</v>
      </c>
      <c r="N102" s="7" t="s">
        <v>208</v>
      </c>
      <c r="O102" s="7" t="s">
        <v>297</v>
      </c>
      <c r="P102" s="7" t="s">
        <v>214</v>
      </c>
      <c r="Q102" s="8" t="s">
        <v>179</v>
      </c>
      <c r="R102" s="9">
        <v>0</v>
      </c>
      <c r="S102" s="54">
        <f t="shared" si="8"/>
        <v>0</v>
      </c>
      <c r="T102" s="9">
        <v>0</v>
      </c>
      <c r="U102" s="54">
        <f t="shared" si="9"/>
        <v>0</v>
      </c>
      <c r="V102" s="11">
        <v>0</v>
      </c>
      <c r="W102" s="11" t="s">
        <v>285</v>
      </c>
      <c r="X102" s="9">
        <v>0</v>
      </c>
      <c r="Y102" s="9">
        <f t="shared" si="10"/>
        <v>0</v>
      </c>
      <c r="Z102" s="11">
        <v>0</v>
      </c>
      <c r="AA102" s="11" t="s">
        <v>292</v>
      </c>
      <c r="AB102" s="66" t="s">
        <v>210</v>
      </c>
      <c r="AC102" s="11" t="str">
        <f t="shared" si="11"/>
        <v>EQUATORIAL</v>
      </c>
      <c r="AD102" s="11" t="s">
        <v>6</v>
      </c>
      <c r="AE102" s="10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7" t="s">
        <v>184</v>
      </c>
      <c r="AQ102" s="100">
        <v>0</v>
      </c>
    </row>
    <row r="103" spans="1:43" hidden="1">
      <c r="A103" s="103">
        <v>45383</v>
      </c>
      <c r="B103" s="47" t="s">
        <v>187</v>
      </c>
      <c r="C103" s="2" t="s">
        <v>211</v>
      </c>
      <c r="D103" s="2" t="s">
        <v>228</v>
      </c>
      <c r="E103" s="4" t="s">
        <v>186</v>
      </c>
      <c r="F103" s="4" t="s">
        <v>173</v>
      </c>
      <c r="G103" s="5">
        <v>45383</v>
      </c>
      <c r="H103" s="31">
        <v>12515883.5</v>
      </c>
      <c r="I103" s="31">
        <v>12515883.5</v>
      </c>
      <c r="J103" s="52">
        <f t="shared" si="12"/>
        <v>12515.8835</v>
      </c>
      <c r="K103" s="12">
        <v>45393</v>
      </c>
      <c r="L103" s="7" t="s">
        <v>175</v>
      </c>
      <c r="M103" s="34" t="s">
        <v>5</v>
      </c>
      <c r="N103" s="7" t="s">
        <v>220</v>
      </c>
      <c r="O103" s="7" t="s">
        <v>284</v>
      </c>
      <c r="P103" s="7" t="s">
        <v>214</v>
      </c>
      <c r="Q103" s="8" t="s">
        <v>179</v>
      </c>
      <c r="R103" s="9">
        <v>1251588350</v>
      </c>
      <c r="S103" s="54">
        <f t="shared" si="8"/>
        <v>1251588.3500000001</v>
      </c>
      <c r="T103" s="9">
        <v>1126429510</v>
      </c>
      <c r="U103" s="54">
        <f t="shared" si="9"/>
        <v>1126429.51</v>
      </c>
      <c r="V103" s="10">
        <v>0.8999999960050763</v>
      </c>
      <c r="W103" s="11" t="s">
        <v>285</v>
      </c>
      <c r="X103" s="9">
        <v>0</v>
      </c>
      <c r="Y103" s="9">
        <f t="shared" si="10"/>
        <v>0</v>
      </c>
      <c r="Z103" s="11">
        <v>0</v>
      </c>
      <c r="AA103" s="11" t="s">
        <v>310</v>
      </c>
      <c r="AB103" s="66" t="s">
        <v>221</v>
      </c>
      <c r="AC103" s="11" t="str">
        <f t="shared" si="11"/>
        <v>EQUATORIAL</v>
      </c>
      <c r="AD103" s="11" t="s">
        <v>6</v>
      </c>
      <c r="AE103" s="10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f>AK103*1000</f>
        <v>1137807370</v>
      </c>
      <c r="AK103" s="81">
        <v>1137807.3700000001</v>
      </c>
      <c r="AL103" s="9">
        <v>0.90900000000000003</v>
      </c>
      <c r="AM103" s="9">
        <f>AN103*1000</f>
        <v>113780980</v>
      </c>
      <c r="AN103" s="9">
        <v>113780.98</v>
      </c>
      <c r="AO103" s="9">
        <v>9.0999999999999998E-2</v>
      </c>
      <c r="AP103" s="97" t="s">
        <v>184</v>
      </c>
      <c r="AQ103" s="100">
        <v>0.80669999999999997</v>
      </c>
    </row>
    <row r="104" spans="1:43" hidden="1">
      <c r="A104" s="103">
        <v>45383</v>
      </c>
      <c r="B104" s="47" t="s">
        <v>187</v>
      </c>
      <c r="C104" s="2" t="s">
        <v>211</v>
      </c>
      <c r="D104" s="2" t="s">
        <v>212</v>
      </c>
      <c r="E104" s="4" t="s">
        <v>213</v>
      </c>
      <c r="F104" s="4" t="s">
        <v>173</v>
      </c>
      <c r="G104" s="5">
        <v>45383</v>
      </c>
      <c r="H104" s="31">
        <v>325412969.5</v>
      </c>
      <c r="I104" s="31">
        <v>325412969.5</v>
      </c>
      <c r="J104" s="52">
        <f t="shared" si="12"/>
        <v>325412.96950000001</v>
      </c>
      <c r="K104" s="12">
        <v>45393</v>
      </c>
      <c r="L104" s="7" t="s">
        <v>175</v>
      </c>
      <c r="M104" s="34" t="s">
        <v>5</v>
      </c>
      <c r="N104" s="7" t="s">
        <v>220</v>
      </c>
      <c r="O104" s="7" t="s">
        <v>284</v>
      </c>
      <c r="P104" s="7" t="s">
        <v>214</v>
      </c>
      <c r="Q104" s="8" t="s">
        <v>179</v>
      </c>
      <c r="R104" s="9">
        <v>0</v>
      </c>
      <c r="S104" s="54">
        <f t="shared" si="8"/>
        <v>0</v>
      </c>
      <c r="T104" s="9">
        <v>0</v>
      </c>
      <c r="U104" s="54">
        <f t="shared" si="9"/>
        <v>0</v>
      </c>
      <c r="V104" s="11">
        <v>0</v>
      </c>
      <c r="W104" s="11" t="s">
        <v>285</v>
      </c>
      <c r="X104" s="9">
        <v>0</v>
      </c>
      <c r="Y104" s="9">
        <f t="shared" si="10"/>
        <v>0</v>
      </c>
      <c r="Z104" s="11">
        <v>0</v>
      </c>
      <c r="AA104" s="11" t="s">
        <v>310</v>
      </c>
      <c r="AB104" s="66" t="s">
        <v>221</v>
      </c>
      <c r="AC104" s="11" t="str">
        <f t="shared" si="11"/>
        <v>EQUATORIAL</v>
      </c>
      <c r="AD104" s="11" t="s">
        <v>6</v>
      </c>
      <c r="AE104" s="10">
        <v>0</v>
      </c>
      <c r="AF104" s="9">
        <v>0</v>
      </c>
      <c r="AG104" s="9">
        <v>0</v>
      </c>
      <c r="AH104" s="9">
        <v>0</v>
      </c>
      <c r="AI104" s="9">
        <v>0</v>
      </c>
      <c r="AJ104" s="81">
        <v>0</v>
      </c>
      <c r="AK104" s="81">
        <v>0</v>
      </c>
      <c r="AL104" s="81">
        <v>0</v>
      </c>
      <c r="AM104" s="81">
        <v>0</v>
      </c>
      <c r="AN104" s="81">
        <v>0</v>
      </c>
      <c r="AO104" s="81">
        <v>0</v>
      </c>
      <c r="AP104" s="97" t="s">
        <v>184</v>
      </c>
      <c r="AQ104" s="100">
        <v>0</v>
      </c>
    </row>
    <row r="105" spans="1:43" hidden="1">
      <c r="A105" s="103">
        <v>45597</v>
      </c>
      <c r="B105" s="47" t="s">
        <v>187</v>
      </c>
      <c r="C105" s="13" t="s">
        <v>211</v>
      </c>
      <c r="D105" s="2" t="s">
        <v>212</v>
      </c>
      <c r="E105" s="4" t="s">
        <v>213</v>
      </c>
      <c r="F105" s="4" t="s">
        <v>283</v>
      </c>
      <c r="G105" s="5">
        <v>45597</v>
      </c>
      <c r="H105" s="31">
        <v>225285902</v>
      </c>
      <c r="I105" s="31">
        <v>225285902</v>
      </c>
      <c r="J105" s="52">
        <f t="shared" si="12"/>
        <v>225285.902</v>
      </c>
      <c r="K105" s="12">
        <v>45618</v>
      </c>
      <c r="L105" s="7" t="s">
        <v>175</v>
      </c>
      <c r="M105" s="34" t="s">
        <v>5</v>
      </c>
      <c r="N105" s="7" t="s">
        <v>220</v>
      </c>
      <c r="O105" s="7" t="s">
        <v>287</v>
      </c>
      <c r="P105" s="7" t="s">
        <v>214</v>
      </c>
      <c r="Q105" s="8" t="s">
        <v>179</v>
      </c>
      <c r="R105" s="9">
        <v>0</v>
      </c>
      <c r="S105" s="54">
        <f t="shared" si="8"/>
        <v>0</v>
      </c>
      <c r="T105" s="9">
        <v>0</v>
      </c>
      <c r="U105" s="54">
        <f t="shared" si="9"/>
        <v>0</v>
      </c>
      <c r="V105" s="11">
        <v>0</v>
      </c>
      <c r="W105" s="11" t="s">
        <v>285</v>
      </c>
      <c r="X105" s="9">
        <v>0</v>
      </c>
      <c r="Y105" s="9">
        <f t="shared" si="10"/>
        <v>0</v>
      </c>
      <c r="Z105" s="11">
        <v>0</v>
      </c>
      <c r="AA105" s="11" t="s">
        <v>310</v>
      </c>
      <c r="AB105" s="66" t="s">
        <v>221</v>
      </c>
      <c r="AC105" s="11" t="str">
        <f t="shared" si="11"/>
        <v>EQUATORIAL</v>
      </c>
      <c r="AD105" s="11" t="s">
        <v>6</v>
      </c>
      <c r="AE105" s="10">
        <v>0</v>
      </c>
      <c r="AF105" s="9">
        <v>0</v>
      </c>
      <c r="AG105" s="9">
        <v>0</v>
      </c>
      <c r="AH105" s="9">
        <v>0</v>
      </c>
      <c r="AI105" s="9">
        <v>0</v>
      </c>
      <c r="AJ105" s="81">
        <v>0</v>
      </c>
      <c r="AK105" s="81">
        <v>0</v>
      </c>
      <c r="AL105" s="81">
        <v>0</v>
      </c>
      <c r="AM105" s="81">
        <v>0</v>
      </c>
      <c r="AN105" s="81">
        <v>0</v>
      </c>
      <c r="AO105" s="81">
        <v>0</v>
      </c>
      <c r="AP105" s="97" t="s">
        <v>184</v>
      </c>
      <c r="AQ105" s="100">
        <v>0</v>
      </c>
    </row>
    <row r="106" spans="1:43" hidden="1">
      <c r="A106" s="103">
        <v>45839</v>
      </c>
      <c r="B106" s="47" t="s">
        <v>187</v>
      </c>
      <c r="C106" s="13" t="s">
        <v>211</v>
      </c>
      <c r="D106" s="2" t="s">
        <v>212</v>
      </c>
      <c r="E106" s="4" t="s">
        <v>213</v>
      </c>
      <c r="F106" s="4" t="s">
        <v>283</v>
      </c>
      <c r="G106" s="5">
        <v>45864</v>
      </c>
      <c r="H106" s="31">
        <v>168964426.5</v>
      </c>
      <c r="I106" s="31">
        <v>168964426.5</v>
      </c>
      <c r="J106" s="52">
        <f t="shared" si="12"/>
        <v>168964.4265</v>
      </c>
      <c r="K106" s="12">
        <v>45849</v>
      </c>
      <c r="L106" s="7" t="s">
        <v>175</v>
      </c>
      <c r="M106" s="34" t="s">
        <v>5</v>
      </c>
      <c r="N106" s="7" t="s">
        <v>220</v>
      </c>
      <c r="O106" s="7" t="s">
        <v>287</v>
      </c>
      <c r="P106" s="7" t="s">
        <v>214</v>
      </c>
      <c r="Q106" s="8" t="s">
        <v>179</v>
      </c>
      <c r="R106" s="9">
        <v>0</v>
      </c>
      <c r="S106" s="54">
        <f t="shared" si="8"/>
        <v>0</v>
      </c>
      <c r="T106" s="9">
        <v>0</v>
      </c>
      <c r="U106" s="54">
        <f t="shared" si="9"/>
        <v>0</v>
      </c>
      <c r="V106" s="11">
        <v>0</v>
      </c>
      <c r="W106" s="11" t="s">
        <v>285</v>
      </c>
      <c r="X106" s="9">
        <v>0</v>
      </c>
      <c r="Y106" s="9">
        <f t="shared" si="10"/>
        <v>0</v>
      </c>
      <c r="Z106" s="11">
        <v>0</v>
      </c>
      <c r="AA106" s="11" t="s">
        <v>310</v>
      </c>
      <c r="AB106" s="66" t="s">
        <v>221</v>
      </c>
      <c r="AC106" s="11" t="str">
        <f t="shared" si="11"/>
        <v>EQUATORIAL</v>
      </c>
      <c r="AD106" s="11" t="s">
        <v>6</v>
      </c>
      <c r="AE106" s="10">
        <v>0</v>
      </c>
      <c r="AF106" s="9">
        <v>0</v>
      </c>
      <c r="AG106" s="9">
        <v>0</v>
      </c>
      <c r="AH106" s="9">
        <v>0</v>
      </c>
      <c r="AI106" s="9">
        <v>0</v>
      </c>
      <c r="AJ106" s="81">
        <v>0</v>
      </c>
      <c r="AK106" s="81">
        <v>0</v>
      </c>
      <c r="AL106" s="81">
        <v>0</v>
      </c>
      <c r="AM106" s="81">
        <v>0</v>
      </c>
      <c r="AN106" s="81">
        <v>0</v>
      </c>
      <c r="AO106" s="81">
        <v>0</v>
      </c>
      <c r="AP106" s="97" t="s">
        <v>184</v>
      </c>
      <c r="AQ106" s="100">
        <v>0</v>
      </c>
    </row>
    <row r="107" spans="1:43" hidden="1">
      <c r="A107" s="103">
        <v>45992</v>
      </c>
      <c r="B107" s="47" t="s">
        <v>187</v>
      </c>
      <c r="C107" s="13" t="s">
        <v>211</v>
      </c>
      <c r="D107" s="2" t="s">
        <v>212</v>
      </c>
      <c r="E107" s="4" t="s">
        <v>213</v>
      </c>
      <c r="F107" s="4" t="s">
        <v>173</v>
      </c>
      <c r="G107" s="5">
        <v>45992</v>
      </c>
      <c r="H107" s="31">
        <v>168964426.5</v>
      </c>
      <c r="I107" s="31">
        <v>168964426.5</v>
      </c>
      <c r="J107" s="52">
        <f t="shared" si="12"/>
        <v>168964.4265</v>
      </c>
      <c r="K107" s="12">
        <v>46002</v>
      </c>
      <c r="L107" s="7" t="s">
        <v>175</v>
      </c>
      <c r="M107" s="34" t="s">
        <v>5</v>
      </c>
      <c r="N107" s="7" t="s">
        <v>220</v>
      </c>
      <c r="O107" s="7" t="s">
        <v>289</v>
      </c>
      <c r="P107" s="7" t="s">
        <v>214</v>
      </c>
      <c r="Q107" s="8" t="s">
        <v>179</v>
      </c>
      <c r="R107" s="9">
        <v>0</v>
      </c>
      <c r="S107" s="54">
        <f t="shared" si="8"/>
        <v>0</v>
      </c>
      <c r="T107" s="9">
        <v>0</v>
      </c>
      <c r="U107" s="54">
        <f t="shared" si="9"/>
        <v>0</v>
      </c>
      <c r="V107" s="11">
        <v>0</v>
      </c>
      <c r="W107" s="11" t="s">
        <v>285</v>
      </c>
      <c r="X107" s="9">
        <v>0</v>
      </c>
      <c r="Y107" s="9">
        <f t="shared" si="10"/>
        <v>0</v>
      </c>
      <c r="Z107" s="11">
        <v>0</v>
      </c>
      <c r="AA107" s="11" t="s">
        <v>310</v>
      </c>
      <c r="AB107" s="66" t="s">
        <v>221</v>
      </c>
      <c r="AC107" s="11" t="str">
        <f t="shared" si="11"/>
        <v>EQUATORIAL</v>
      </c>
      <c r="AD107" s="11" t="s">
        <v>6</v>
      </c>
      <c r="AE107" s="10">
        <v>0</v>
      </c>
      <c r="AF107" s="9">
        <v>0</v>
      </c>
      <c r="AG107" s="9">
        <v>0</v>
      </c>
      <c r="AH107" s="9">
        <v>0</v>
      </c>
      <c r="AI107" s="9">
        <v>0</v>
      </c>
      <c r="AJ107" s="81">
        <v>0</v>
      </c>
      <c r="AK107" s="81">
        <v>0</v>
      </c>
      <c r="AL107" s="81">
        <v>0</v>
      </c>
      <c r="AM107" s="81">
        <v>0</v>
      </c>
      <c r="AN107" s="81">
        <v>0</v>
      </c>
      <c r="AO107" s="81">
        <v>0</v>
      </c>
      <c r="AP107" s="97" t="s">
        <v>184</v>
      </c>
      <c r="AQ107" s="100">
        <v>0</v>
      </c>
    </row>
    <row r="108" spans="1:43" hidden="1">
      <c r="A108" s="103">
        <v>45413</v>
      </c>
      <c r="B108" s="47" t="s">
        <v>198</v>
      </c>
      <c r="C108" s="2" t="s">
        <v>205</v>
      </c>
      <c r="D108" s="2" t="s">
        <v>228</v>
      </c>
      <c r="E108" s="4" t="s">
        <v>186</v>
      </c>
      <c r="F108" s="4" t="s">
        <v>173</v>
      </c>
      <c r="G108" s="5">
        <v>45383</v>
      </c>
      <c r="H108" s="31">
        <v>382444.2</v>
      </c>
      <c r="I108" s="31">
        <v>382444.2</v>
      </c>
      <c r="J108" s="52">
        <f t="shared" si="12"/>
        <v>382.44420000000002</v>
      </c>
      <c r="K108" s="12">
        <v>45421</v>
      </c>
      <c r="L108" s="7" t="s">
        <v>175</v>
      </c>
      <c r="M108" s="34" t="s">
        <v>37</v>
      </c>
      <c r="N108" s="7" t="s">
        <v>176</v>
      </c>
      <c r="O108" s="7" t="s">
        <v>284</v>
      </c>
      <c r="P108" s="7" t="s">
        <v>209</v>
      </c>
      <c r="Q108" s="8" t="s">
        <v>179</v>
      </c>
      <c r="R108" s="9">
        <v>38244420</v>
      </c>
      <c r="S108" s="54">
        <f t="shared" si="8"/>
        <v>38244.42</v>
      </c>
      <c r="T108" s="9">
        <v>34419980</v>
      </c>
      <c r="U108" s="54">
        <f t="shared" si="9"/>
        <v>34419.980000000003</v>
      </c>
      <c r="V108" s="10">
        <v>0.90000005229521063</v>
      </c>
      <c r="W108" s="11" t="s">
        <v>285</v>
      </c>
      <c r="X108" s="9">
        <v>0</v>
      </c>
      <c r="Y108" s="9">
        <f t="shared" si="10"/>
        <v>0</v>
      </c>
      <c r="Z108" s="10">
        <f>AE108</f>
        <v>1E-4</v>
      </c>
      <c r="AA108" s="11" t="s">
        <v>36</v>
      </c>
      <c r="AB108" s="66" t="s">
        <v>181</v>
      </c>
      <c r="AC108" s="11" t="str">
        <f t="shared" si="11"/>
        <v>ENERGISA</v>
      </c>
      <c r="AD108" s="11" t="s">
        <v>6</v>
      </c>
      <c r="AE108" s="10">
        <v>1E-4</v>
      </c>
      <c r="AF108" s="9">
        <v>0</v>
      </c>
      <c r="AG108" s="9">
        <v>0</v>
      </c>
      <c r="AH108" s="79">
        <v>3408288.44</v>
      </c>
      <c r="AI108" s="79">
        <f>AH108/1000</f>
        <v>3408.2884399999998</v>
      </c>
      <c r="AJ108" s="9">
        <f>AK108*1000</f>
        <v>34420310</v>
      </c>
      <c r="AK108" s="9">
        <v>34420.31</v>
      </c>
      <c r="AL108" s="9">
        <v>0.9</v>
      </c>
      <c r="AM108" s="9">
        <f>AN108*1000</f>
        <v>3824110</v>
      </c>
      <c r="AN108" s="9">
        <v>3824.11</v>
      </c>
      <c r="AO108" s="9">
        <v>0.1</v>
      </c>
      <c r="AP108" s="97" t="s">
        <v>184</v>
      </c>
      <c r="AQ108" s="100">
        <v>1</v>
      </c>
    </row>
    <row r="109" spans="1:43" hidden="1">
      <c r="A109" s="103">
        <v>45413</v>
      </c>
      <c r="B109" s="47" t="s">
        <v>198</v>
      </c>
      <c r="C109" s="2" t="s">
        <v>205</v>
      </c>
      <c r="D109" s="2" t="s">
        <v>206</v>
      </c>
      <c r="E109" s="4" t="s">
        <v>207</v>
      </c>
      <c r="F109" s="4" t="s">
        <v>173</v>
      </c>
      <c r="G109" s="5">
        <v>45383</v>
      </c>
      <c r="H109" s="31">
        <v>9943549.8000000007</v>
      </c>
      <c r="I109" s="31">
        <v>9943549.8000000007</v>
      </c>
      <c r="J109" s="52">
        <f t="shared" si="12"/>
        <v>9943.5498000000007</v>
      </c>
      <c r="K109" s="12">
        <v>45421</v>
      </c>
      <c r="L109" s="7" t="s">
        <v>175</v>
      </c>
      <c r="M109" s="34" t="s">
        <v>37</v>
      </c>
      <c r="N109" s="7" t="s">
        <v>176</v>
      </c>
      <c r="O109" s="7" t="s">
        <v>284</v>
      </c>
      <c r="P109" s="7" t="s">
        <v>209</v>
      </c>
      <c r="Q109" s="8" t="s">
        <v>179</v>
      </c>
      <c r="R109" s="9">
        <v>0</v>
      </c>
      <c r="S109" s="54">
        <f t="shared" si="8"/>
        <v>0</v>
      </c>
      <c r="T109" s="9">
        <v>0</v>
      </c>
      <c r="U109" s="54">
        <f t="shared" si="9"/>
        <v>0</v>
      </c>
      <c r="V109" s="11">
        <v>0</v>
      </c>
      <c r="W109" s="11" t="s">
        <v>285</v>
      </c>
      <c r="X109" s="9">
        <v>0</v>
      </c>
      <c r="Y109" s="9">
        <f t="shared" si="10"/>
        <v>0</v>
      </c>
      <c r="Z109" s="11">
        <v>0</v>
      </c>
      <c r="AA109" s="11" t="s">
        <v>36</v>
      </c>
      <c r="AB109" s="66" t="s">
        <v>181</v>
      </c>
      <c r="AC109" s="11" t="str">
        <f t="shared" si="11"/>
        <v>ENERGISA</v>
      </c>
      <c r="AD109" s="11" t="s">
        <v>6</v>
      </c>
      <c r="AE109" s="10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7" t="s">
        <v>184</v>
      </c>
      <c r="AQ109" s="100">
        <v>0</v>
      </c>
    </row>
    <row r="110" spans="1:43" hidden="1">
      <c r="A110" s="87">
        <v>45505</v>
      </c>
      <c r="B110" s="86" t="s">
        <v>198</v>
      </c>
      <c r="C110" s="86" t="s">
        <v>205</v>
      </c>
      <c r="D110" s="86" t="s">
        <v>206</v>
      </c>
      <c r="E110" s="86" t="s">
        <v>207</v>
      </c>
      <c r="F110" s="86" t="s">
        <v>283</v>
      </c>
      <c r="G110" s="87">
        <v>45505</v>
      </c>
      <c r="H110" s="88">
        <v>6883996</v>
      </c>
      <c r="I110" s="88">
        <v>6883996</v>
      </c>
      <c r="J110" s="52">
        <f t="shared" si="12"/>
        <v>6883.9960000000001</v>
      </c>
      <c r="K110" s="12">
        <v>45534</v>
      </c>
      <c r="L110" s="7" t="s">
        <v>175</v>
      </c>
      <c r="M110" s="34" t="s">
        <v>37</v>
      </c>
      <c r="N110" s="7" t="s">
        <v>176</v>
      </c>
      <c r="O110" s="84" t="s">
        <v>287</v>
      </c>
      <c r="P110" s="7" t="s">
        <v>209</v>
      </c>
      <c r="Q110" s="8" t="s">
        <v>179</v>
      </c>
      <c r="R110" s="9">
        <v>0</v>
      </c>
      <c r="S110" s="54">
        <f t="shared" si="8"/>
        <v>0</v>
      </c>
      <c r="T110" s="9">
        <v>0</v>
      </c>
      <c r="U110" s="54">
        <f t="shared" si="9"/>
        <v>0</v>
      </c>
      <c r="V110" s="11">
        <v>0</v>
      </c>
      <c r="W110" s="11" t="s">
        <v>285</v>
      </c>
      <c r="X110" s="9">
        <v>0</v>
      </c>
      <c r="Y110" s="9">
        <f t="shared" si="10"/>
        <v>0</v>
      </c>
      <c r="Z110" s="11">
        <v>0</v>
      </c>
      <c r="AA110" s="11" t="s">
        <v>36</v>
      </c>
      <c r="AB110" s="66" t="s">
        <v>181</v>
      </c>
      <c r="AC110" s="11" t="str">
        <f t="shared" si="11"/>
        <v>ENERGISA</v>
      </c>
      <c r="AD110" s="11" t="s">
        <v>6</v>
      </c>
      <c r="AE110" s="10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7" t="s">
        <v>184</v>
      </c>
      <c r="AQ110" s="100">
        <v>0</v>
      </c>
    </row>
    <row r="111" spans="1:43" hidden="1">
      <c r="A111" s="90">
        <v>45505</v>
      </c>
      <c r="B111" s="89" t="s">
        <v>198</v>
      </c>
      <c r="C111" s="89" t="s">
        <v>205</v>
      </c>
      <c r="D111" s="89" t="s">
        <v>206</v>
      </c>
      <c r="E111" s="89" t="s">
        <v>207</v>
      </c>
      <c r="F111" s="89" t="s">
        <v>283</v>
      </c>
      <c r="G111" s="90">
        <v>45505</v>
      </c>
      <c r="H111" s="91">
        <v>5162997</v>
      </c>
      <c r="I111" s="91">
        <v>5162997</v>
      </c>
      <c r="J111" s="52">
        <f t="shared" ref="J111:J113" si="13">I111/1000</f>
        <v>5162.9970000000003</v>
      </c>
      <c r="K111" s="12">
        <v>45534</v>
      </c>
      <c r="L111" s="7" t="s">
        <v>175</v>
      </c>
      <c r="M111" s="34" t="s">
        <v>37</v>
      </c>
      <c r="N111" s="7" t="s">
        <v>176</v>
      </c>
      <c r="O111" s="84" t="s">
        <v>296</v>
      </c>
      <c r="P111" s="7" t="s">
        <v>209</v>
      </c>
      <c r="Q111" s="8" t="s">
        <v>179</v>
      </c>
      <c r="R111" s="9">
        <v>0</v>
      </c>
      <c r="S111" s="54">
        <f t="shared" si="8"/>
        <v>0</v>
      </c>
      <c r="T111" s="9">
        <v>0</v>
      </c>
      <c r="U111" s="54">
        <f t="shared" si="9"/>
        <v>0</v>
      </c>
      <c r="V111" s="11">
        <v>0</v>
      </c>
      <c r="W111" s="11" t="s">
        <v>285</v>
      </c>
      <c r="X111" s="9">
        <v>0</v>
      </c>
      <c r="Y111" s="9">
        <f t="shared" si="10"/>
        <v>0</v>
      </c>
      <c r="Z111" s="11">
        <v>0</v>
      </c>
      <c r="AA111" s="11" t="s">
        <v>36</v>
      </c>
      <c r="AB111" s="66" t="s">
        <v>181</v>
      </c>
      <c r="AC111" s="11" t="str">
        <f t="shared" si="11"/>
        <v>ENERGISA</v>
      </c>
      <c r="AD111" s="11" t="s">
        <v>6</v>
      </c>
      <c r="AE111" s="10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7" t="s">
        <v>184</v>
      </c>
      <c r="AQ111" s="100">
        <v>0</v>
      </c>
    </row>
    <row r="112" spans="1:43" hidden="1">
      <c r="A112" s="90">
        <v>45505</v>
      </c>
      <c r="B112" s="89" t="s">
        <v>198</v>
      </c>
      <c r="C112" s="89" t="s">
        <v>205</v>
      </c>
      <c r="D112" s="89" t="s">
        <v>206</v>
      </c>
      <c r="E112" s="89" t="s">
        <v>207</v>
      </c>
      <c r="F112" s="89" t="s">
        <v>283</v>
      </c>
      <c r="G112" s="90">
        <v>45505</v>
      </c>
      <c r="H112" s="91">
        <v>5162997</v>
      </c>
      <c r="I112" s="91">
        <v>5162997</v>
      </c>
      <c r="J112" s="52">
        <f t="shared" si="13"/>
        <v>5162.9970000000003</v>
      </c>
      <c r="K112" s="12">
        <v>45534</v>
      </c>
      <c r="L112" s="7" t="s">
        <v>175</v>
      </c>
      <c r="M112" s="34" t="s">
        <v>37</v>
      </c>
      <c r="N112" s="7" t="s">
        <v>176</v>
      </c>
      <c r="O112" s="84" t="s">
        <v>289</v>
      </c>
      <c r="P112" s="7" t="s">
        <v>209</v>
      </c>
      <c r="Q112" s="8" t="s">
        <v>179</v>
      </c>
      <c r="R112" s="9">
        <v>0</v>
      </c>
      <c r="S112" s="54">
        <f t="shared" si="8"/>
        <v>0</v>
      </c>
      <c r="T112" s="9">
        <v>0</v>
      </c>
      <c r="U112" s="54">
        <f t="shared" si="9"/>
        <v>0</v>
      </c>
      <c r="V112" s="11">
        <v>0</v>
      </c>
      <c r="W112" s="11" t="s">
        <v>285</v>
      </c>
      <c r="X112" s="9">
        <v>0</v>
      </c>
      <c r="Y112" s="9">
        <f t="shared" si="10"/>
        <v>0</v>
      </c>
      <c r="Z112" s="11">
        <v>0</v>
      </c>
      <c r="AA112" s="11" t="s">
        <v>36</v>
      </c>
      <c r="AB112" s="66" t="s">
        <v>181</v>
      </c>
      <c r="AC112" s="11" t="str">
        <f t="shared" si="11"/>
        <v>ENERGISA</v>
      </c>
      <c r="AD112" s="11" t="s">
        <v>6</v>
      </c>
      <c r="AE112" s="10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7" t="s">
        <v>184</v>
      </c>
      <c r="AQ112" s="100">
        <v>0</v>
      </c>
    </row>
    <row r="113" spans="1:43" hidden="1">
      <c r="A113" s="90">
        <v>45505</v>
      </c>
      <c r="B113" s="89" t="s">
        <v>198</v>
      </c>
      <c r="C113" s="89" t="s">
        <v>205</v>
      </c>
      <c r="D113" s="89" t="s">
        <v>206</v>
      </c>
      <c r="E113" s="89" t="s">
        <v>207</v>
      </c>
      <c r="F113" s="89" t="s">
        <v>283</v>
      </c>
      <c r="G113" s="90">
        <v>45505</v>
      </c>
      <c r="H113" s="91">
        <v>3441998</v>
      </c>
      <c r="I113" s="91">
        <v>3441998</v>
      </c>
      <c r="J113" s="52">
        <f t="shared" si="13"/>
        <v>3441.998</v>
      </c>
      <c r="K113" s="12">
        <v>45534</v>
      </c>
      <c r="L113" s="7" t="s">
        <v>175</v>
      </c>
      <c r="M113" s="34" t="s">
        <v>37</v>
      </c>
      <c r="N113" s="7" t="s">
        <v>176</v>
      </c>
      <c r="O113" s="84" t="s">
        <v>297</v>
      </c>
      <c r="P113" s="7" t="s">
        <v>209</v>
      </c>
      <c r="Q113" s="8" t="s">
        <v>179</v>
      </c>
      <c r="R113" s="9">
        <v>0</v>
      </c>
      <c r="S113" s="54">
        <f t="shared" si="8"/>
        <v>0</v>
      </c>
      <c r="T113" s="9">
        <v>0</v>
      </c>
      <c r="U113" s="54">
        <f t="shared" si="9"/>
        <v>0</v>
      </c>
      <c r="V113" s="11">
        <v>0</v>
      </c>
      <c r="W113" s="11" t="s">
        <v>285</v>
      </c>
      <c r="X113" s="9">
        <v>0</v>
      </c>
      <c r="Y113" s="9">
        <f t="shared" si="10"/>
        <v>0</v>
      </c>
      <c r="Z113" s="11">
        <v>0</v>
      </c>
      <c r="AA113" s="11" t="s">
        <v>36</v>
      </c>
      <c r="AB113" s="66" t="s">
        <v>181</v>
      </c>
      <c r="AC113" s="11" t="str">
        <f t="shared" si="11"/>
        <v>ENERGISA</v>
      </c>
      <c r="AD113" s="11" t="s">
        <v>6</v>
      </c>
      <c r="AE113" s="10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7" t="s">
        <v>184</v>
      </c>
      <c r="AQ113" s="100">
        <v>0</v>
      </c>
    </row>
    <row r="114" spans="1:43" hidden="1">
      <c r="A114" s="103">
        <v>45992</v>
      </c>
      <c r="B114" s="47" t="s">
        <v>198</v>
      </c>
      <c r="C114" s="2" t="s">
        <v>205</v>
      </c>
      <c r="D114" s="2" t="s">
        <v>206</v>
      </c>
      <c r="E114" s="4" t="s">
        <v>207</v>
      </c>
      <c r="F114" s="4" t="s">
        <v>173</v>
      </c>
      <c r="G114" s="5">
        <v>45992</v>
      </c>
      <c r="H114" s="31">
        <v>3408288.44</v>
      </c>
      <c r="I114" s="31">
        <v>3408288.44</v>
      </c>
      <c r="J114" s="52">
        <f t="shared" ref="J114:J145" si="14">I114/1000</f>
        <v>3408.2884399999998</v>
      </c>
      <c r="K114" s="12">
        <v>46010</v>
      </c>
      <c r="L114" s="7" t="s">
        <v>175</v>
      </c>
      <c r="M114" s="34" t="s">
        <v>37</v>
      </c>
      <c r="N114" s="7" t="s">
        <v>176</v>
      </c>
      <c r="O114" s="7" t="s">
        <v>177</v>
      </c>
      <c r="P114" s="7" t="s">
        <v>209</v>
      </c>
      <c r="Q114" s="8" t="s">
        <v>179</v>
      </c>
      <c r="R114" s="9">
        <v>0</v>
      </c>
      <c r="S114" s="54">
        <f t="shared" si="8"/>
        <v>0</v>
      </c>
      <c r="T114" s="9">
        <v>0</v>
      </c>
      <c r="U114" s="54">
        <f t="shared" si="9"/>
        <v>0</v>
      </c>
      <c r="V114" s="11">
        <v>0</v>
      </c>
      <c r="W114" s="11" t="s">
        <v>285</v>
      </c>
      <c r="X114" s="9">
        <v>0</v>
      </c>
      <c r="Y114" s="9">
        <f t="shared" si="10"/>
        <v>0</v>
      </c>
      <c r="Z114" s="11">
        <v>0</v>
      </c>
      <c r="AA114" s="11" t="s">
        <v>36</v>
      </c>
      <c r="AB114" s="66" t="s">
        <v>181</v>
      </c>
      <c r="AC114" s="11" t="str">
        <f t="shared" si="11"/>
        <v>ENERGISA</v>
      </c>
      <c r="AD114" s="11" t="s">
        <v>6</v>
      </c>
      <c r="AE114" s="10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7" t="s">
        <v>184</v>
      </c>
      <c r="AQ114" s="100">
        <v>0</v>
      </c>
    </row>
    <row r="115" spans="1:43" hidden="1">
      <c r="A115" s="103">
        <v>45901</v>
      </c>
      <c r="B115" s="47" t="s">
        <v>198</v>
      </c>
      <c r="C115" s="2" t="s">
        <v>215</v>
      </c>
      <c r="D115" s="2" t="s">
        <v>216</v>
      </c>
      <c r="E115" s="4" t="s">
        <v>277</v>
      </c>
      <c r="F115" s="4" t="s">
        <v>173</v>
      </c>
      <c r="G115" s="5">
        <v>45901</v>
      </c>
      <c r="H115" s="31">
        <v>4476550</v>
      </c>
      <c r="I115" s="31">
        <v>4476550</v>
      </c>
      <c r="J115" s="52">
        <f t="shared" si="14"/>
        <v>4476.55</v>
      </c>
      <c r="K115" s="12">
        <v>45912</v>
      </c>
      <c r="L115" s="7" t="s">
        <v>175</v>
      </c>
      <c r="M115" s="34" t="s">
        <v>17</v>
      </c>
      <c r="N115" s="7" t="s">
        <v>176</v>
      </c>
      <c r="O115" s="7" t="s">
        <v>284</v>
      </c>
      <c r="P115" s="7" t="s">
        <v>217</v>
      </c>
      <c r="Q115" s="8" t="s">
        <v>179</v>
      </c>
      <c r="R115" s="9">
        <v>17217480</v>
      </c>
      <c r="S115" s="54">
        <f t="shared" si="8"/>
        <v>17217.48</v>
      </c>
      <c r="T115" s="9">
        <v>15495750</v>
      </c>
      <c r="U115" s="54">
        <f t="shared" si="9"/>
        <v>15495.75</v>
      </c>
      <c r="V115" s="10">
        <v>0.90000104544915982</v>
      </c>
      <c r="W115" s="11" t="s">
        <v>285</v>
      </c>
      <c r="X115" s="9">
        <v>0</v>
      </c>
      <c r="Y115" s="9">
        <f t="shared" si="10"/>
        <v>0</v>
      </c>
      <c r="Z115" s="11">
        <v>0</v>
      </c>
      <c r="AA115" s="11" t="s">
        <v>310</v>
      </c>
      <c r="AB115" s="66" t="s">
        <v>181</v>
      </c>
      <c r="AC115" s="11" t="str">
        <f t="shared" si="11"/>
        <v>ENERGISA</v>
      </c>
      <c r="AD115" s="11" t="s">
        <v>6</v>
      </c>
      <c r="AE115" s="10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f>AK115*1000</f>
        <v>15495750</v>
      </c>
      <c r="AK115" s="9">
        <v>15495.75</v>
      </c>
      <c r="AL115" s="9">
        <v>0.9</v>
      </c>
      <c r="AM115" s="9">
        <f>AN115*1000</f>
        <v>1721730</v>
      </c>
      <c r="AN115" s="9">
        <v>1721.73</v>
      </c>
      <c r="AO115" s="9">
        <v>0.1</v>
      </c>
      <c r="AP115" s="97" t="s">
        <v>184</v>
      </c>
      <c r="AQ115" s="100">
        <v>1</v>
      </c>
    </row>
    <row r="116" spans="1:43" hidden="1">
      <c r="A116" s="103">
        <v>45901</v>
      </c>
      <c r="B116" s="47" t="s">
        <v>198</v>
      </c>
      <c r="C116" s="2" t="s">
        <v>215</v>
      </c>
      <c r="D116" s="2" t="s">
        <v>311</v>
      </c>
      <c r="E116" s="4" t="s">
        <v>312</v>
      </c>
      <c r="F116" s="4" t="s">
        <v>173</v>
      </c>
      <c r="G116" s="5">
        <v>45901</v>
      </c>
      <c r="H116" s="31">
        <v>172174.8</v>
      </c>
      <c r="I116" s="31">
        <v>172174.8</v>
      </c>
      <c r="J116" s="52">
        <f t="shared" si="14"/>
        <v>172.17479999999998</v>
      </c>
      <c r="K116" s="12">
        <v>45912</v>
      </c>
      <c r="L116" s="7" t="s">
        <v>175</v>
      </c>
      <c r="M116" s="34" t="s">
        <v>17</v>
      </c>
      <c r="N116" s="7" t="s">
        <v>176</v>
      </c>
      <c r="O116" s="7" t="s">
        <v>284</v>
      </c>
      <c r="P116" s="7" t="s">
        <v>217</v>
      </c>
      <c r="Q116" s="8" t="s">
        <v>179</v>
      </c>
      <c r="R116" s="9">
        <v>0</v>
      </c>
      <c r="S116" s="54">
        <f t="shared" si="8"/>
        <v>0</v>
      </c>
      <c r="T116" s="9">
        <v>0</v>
      </c>
      <c r="U116" s="54">
        <f t="shared" si="9"/>
        <v>0</v>
      </c>
      <c r="V116" s="10">
        <v>0</v>
      </c>
      <c r="W116" s="11" t="s">
        <v>285</v>
      </c>
      <c r="X116" s="9">
        <v>0</v>
      </c>
      <c r="Y116" s="9">
        <f t="shared" si="10"/>
        <v>0</v>
      </c>
      <c r="Z116" s="11">
        <v>0</v>
      </c>
      <c r="AA116" s="11" t="s">
        <v>310</v>
      </c>
      <c r="AB116" s="66" t="s">
        <v>181</v>
      </c>
      <c r="AC116" s="11" t="str">
        <f t="shared" si="11"/>
        <v>ENERGISA</v>
      </c>
      <c r="AD116" s="11" t="s">
        <v>6</v>
      </c>
      <c r="AE116" s="10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7" t="s">
        <v>184</v>
      </c>
      <c r="AQ116" s="100">
        <v>0</v>
      </c>
    </row>
    <row r="117" spans="1:43" hidden="1">
      <c r="A117" s="103">
        <v>45931</v>
      </c>
      <c r="B117" s="47" t="s">
        <v>198</v>
      </c>
      <c r="C117" s="2" t="s">
        <v>215</v>
      </c>
      <c r="D117" s="2" t="s">
        <v>216</v>
      </c>
      <c r="E117" s="4" t="s">
        <v>277</v>
      </c>
      <c r="F117" s="4" t="s">
        <v>173</v>
      </c>
      <c r="G117" s="5">
        <v>45931</v>
      </c>
      <c r="H117" s="92">
        <v>3099150</v>
      </c>
      <c r="I117" s="88">
        <v>3099150</v>
      </c>
      <c r="J117" s="52">
        <f t="shared" si="14"/>
        <v>3099.15</v>
      </c>
      <c r="K117" s="12">
        <v>45961</v>
      </c>
      <c r="L117" s="7" t="s">
        <v>175</v>
      </c>
      <c r="M117" s="34" t="s">
        <v>17</v>
      </c>
      <c r="N117" s="7" t="s">
        <v>176</v>
      </c>
      <c r="O117" s="84" t="s">
        <v>287</v>
      </c>
      <c r="P117" s="7" t="s">
        <v>217</v>
      </c>
      <c r="Q117" s="8" t="s">
        <v>179</v>
      </c>
      <c r="R117" s="9">
        <v>0</v>
      </c>
      <c r="S117" s="54">
        <f t="shared" si="8"/>
        <v>0</v>
      </c>
      <c r="T117" s="9">
        <v>0</v>
      </c>
      <c r="U117" s="54">
        <f t="shared" si="9"/>
        <v>0</v>
      </c>
      <c r="V117" s="10">
        <v>0</v>
      </c>
      <c r="W117" s="11" t="s">
        <v>285</v>
      </c>
      <c r="X117" s="9">
        <v>0</v>
      </c>
      <c r="Y117" s="9">
        <f t="shared" si="10"/>
        <v>0</v>
      </c>
      <c r="Z117" s="11">
        <v>0</v>
      </c>
      <c r="AA117" s="11" t="s">
        <v>310</v>
      </c>
      <c r="AB117" s="66" t="s">
        <v>181</v>
      </c>
      <c r="AC117" s="11" t="str">
        <f t="shared" si="11"/>
        <v>ENERGISA</v>
      </c>
      <c r="AD117" s="11" t="s">
        <v>6</v>
      </c>
      <c r="AE117" s="10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7" t="s">
        <v>184</v>
      </c>
      <c r="AQ117" s="100">
        <v>0</v>
      </c>
    </row>
    <row r="118" spans="1:43" hidden="1">
      <c r="A118" s="103">
        <v>45931</v>
      </c>
      <c r="B118" s="47" t="s">
        <v>198</v>
      </c>
      <c r="C118" s="2" t="s">
        <v>215</v>
      </c>
      <c r="D118" s="2" t="s">
        <v>216</v>
      </c>
      <c r="E118" s="4" t="s">
        <v>277</v>
      </c>
      <c r="F118" s="4" t="s">
        <v>173</v>
      </c>
      <c r="G118" s="5">
        <v>45931</v>
      </c>
      <c r="H118" s="93">
        <v>1549575</v>
      </c>
      <c r="I118" s="91">
        <v>1549575</v>
      </c>
      <c r="J118" s="52">
        <f t="shared" si="14"/>
        <v>1549.575</v>
      </c>
      <c r="K118" s="12">
        <v>45961</v>
      </c>
      <c r="L118" s="7" t="s">
        <v>175</v>
      </c>
      <c r="M118" s="34" t="s">
        <v>17</v>
      </c>
      <c r="N118" s="7" t="s">
        <v>176</v>
      </c>
      <c r="O118" s="84" t="s">
        <v>296</v>
      </c>
      <c r="P118" s="7" t="s">
        <v>217</v>
      </c>
      <c r="Q118" s="8" t="s">
        <v>179</v>
      </c>
      <c r="R118" s="9">
        <v>0</v>
      </c>
      <c r="S118" s="54">
        <f t="shared" si="8"/>
        <v>0</v>
      </c>
      <c r="T118" s="9">
        <v>0</v>
      </c>
      <c r="U118" s="54">
        <f t="shared" si="9"/>
        <v>0</v>
      </c>
      <c r="V118" s="10">
        <v>0</v>
      </c>
      <c r="W118" s="11" t="s">
        <v>285</v>
      </c>
      <c r="X118" s="9">
        <v>0</v>
      </c>
      <c r="Y118" s="9">
        <f t="shared" si="10"/>
        <v>0</v>
      </c>
      <c r="Z118" s="11">
        <v>0</v>
      </c>
      <c r="AA118" s="11" t="s">
        <v>310</v>
      </c>
      <c r="AB118" s="66" t="s">
        <v>181</v>
      </c>
      <c r="AC118" s="11" t="str">
        <f t="shared" si="11"/>
        <v>ENERGISA</v>
      </c>
      <c r="AD118" s="11" t="s">
        <v>6</v>
      </c>
      <c r="AE118" s="10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7" t="s">
        <v>184</v>
      </c>
      <c r="AQ118" s="100">
        <v>0</v>
      </c>
    </row>
    <row r="119" spans="1:43" hidden="1">
      <c r="A119" s="103">
        <v>45931</v>
      </c>
      <c r="B119" s="47" t="s">
        <v>198</v>
      </c>
      <c r="C119" s="2" t="s">
        <v>215</v>
      </c>
      <c r="D119" s="2" t="s">
        <v>216</v>
      </c>
      <c r="E119" s="4" t="s">
        <v>277</v>
      </c>
      <c r="F119" s="4" t="s">
        <v>173</v>
      </c>
      <c r="G119" s="5">
        <v>45931</v>
      </c>
      <c r="H119" s="93">
        <v>1549575</v>
      </c>
      <c r="I119" s="91">
        <v>1549575</v>
      </c>
      <c r="J119" s="52">
        <f t="shared" si="14"/>
        <v>1549.575</v>
      </c>
      <c r="K119" s="12">
        <v>45961</v>
      </c>
      <c r="L119" s="7" t="s">
        <v>175</v>
      </c>
      <c r="M119" s="34" t="s">
        <v>17</v>
      </c>
      <c r="N119" s="7" t="s">
        <v>176</v>
      </c>
      <c r="O119" s="84" t="s">
        <v>289</v>
      </c>
      <c r="P119" s="7" t="s">
        <v>217</v>
      </c>
      <c r="Q119" s="8" t="s">
        <v>179</v>
      </c>
      <c r="R119" s="9">
        <v>0</v>
      </c>
      <c r="S119" s="54">
        <f t="shared" si="8"/>
        <v>0</v>
      </c>
      <c r="T119" s="9">
        <v>0</v>
      </c>
      <c r="U119" s="54">
        <f t="shared" si="9"/>
        <v>0</v>
      </c>
      <c r="V119" s="10">
        <v>0</v>
      </c>
      <c r="W119" s="11" t="s">
        <v>285</v>
      </c>
      <c r="X119" s="9">
        <v>0</v>
      </c>
      <c r="Y119" s="9">
        <f t="shared" si="10"/>
        <v>0</v>
      </c>
      <c r="Z119" s="11">
        <v>0</v>
      </c>
      <c r="AA119" s="11" t="s">
        <v>310</v>
      </c>
      <c r="AB119" s="66" t="s">
        <v>181</v>
      </c>
      <c r="AC119" s="11" t="str">
        <f t="shared" si="11"/>
        <v>ENERGISA</v>
      </c>
      <c r="AD119" s="11" t="s">
        <v>6</v>
      </c>
      <c r="AE119" s="10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7" t="s">
        <v>184</v>
      </c>
      <c r="AQ119" s="100">
        <v>0</v>
      </c>
    </row>
    <row r="120" spans="1:43" hidden="1">
      <c r="A120" s="103">
        <v>45931</v>
      </c>
      <c r="B120" s="47" t="s">
        <v>198</v>
      </c>
      <c r="C120" s="2" t="s">
        <v>215</v>
      </c>
      <c r="D120" s="2" t="s">
        <v>216</v>
      </c>
      <c r="E120" s="4" t="s">
        <v>277</v>
      </c>
      <c r="F120" s="4" t="s">
        <v>173</v>
      </c>
      <c r="G120" s="5">
        <v>45931</v>
      </c>
      <c r="H120" s="93">
        <v>1549575</v>
      </c>
      <c r="I120" s="91">
        <v>1549575</v>
      </c>
      <c r="J120" s="52">
        <f t="shared" si="14"/>
        <v>1549.575</v>
      </c>
      <c r="K120" s="12">
        <v>45961</v>
      </c>
      <c r="L120" s="7" t="s">
        <v>175</v>
      </c>
      <c r="M120" s="34" t="s">
        <v>17</v>
      </c>
      <c r="N120" s="7" t="s">
        <v>176</v>
      </c>
      <c r="O120" s="84" t="s">
        <v>297</v>
      </c>
      <c r="P120" s="7" t="s">
        <v>217</v>
      </c>
      <c r="Q120" s="8" t="s">
        <v>179</v>
      </c>
      <c r="R120" s="9">
        <v>0</v>
      </c>
      <c r="S120" s="54">
        <f t="shared" si="8"/>
        <v>0</v>
      </c>
      <c r="T120" s="9">
        <v>0</v>
      </c>
      <c r="U120" s="54">
        <f t="shared" si="9"/>
        <v>0</v>
      </c>
      <c r="V120" s="10">
        <v>0</v>
      </c>
      <c r="W120" s="11" t="s">
        <v>285</v>
      </c>
      <c r="X120" s="9">
        <v>0</v>
      </c>
      <c r="Y120" s="9">
        <f t="shared" si="10"/>
        <v>0</v>
      </c>
      <c r="Z120" s="11">
        <v>0</v>
      </c>
      <c r="AA120" s="11" t="s">
        <v>310</v>
      </c>
      <c r="AB120" s="66" t="s">
        <v>181</v>
      </c>
      <c r="AC120" s="11" t="str">
        <f t="shared" si="11"/>
        <v>ENERGISA</v>
      </c>
      <c r="AD120" s="11" t="s">
        <v>6</v>
      </c>
      <c r="AE120" s="10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7" t="s">
        <v>184</v>
      </c>
      <c r="AQ120" s="100">
        <v>0</v>
      </c>
    </row>
    <row r="121" spans="1:43">
      <c r="A121" s="103">
        <v>45992</v>
      </c>
      <c r="B121" s="47" t="s">
        <v>198</v>
      </c>
      <c r="C121" s="2" t="s">
        <v>302</v>
      </c>
      <c r="D121" s="2" t="s">
        <v>305</v>
      </c>
      <c r="E121" s="4" t="s">
        <v>306</v>
      </c>
      <c r="F121" s="4" t="s">
        <v>173</v>
      </c>
      <c r="G121" s="5">
        <v>45992</v>
      </c>
      <c r="H121" s="31">
        <v>13062850.699999999</v>
      </c>
      <c r="I121" s="31">
        <v>13062850.699999999</v>
      </c>
      <c r="J121" s="52">
        <f t="shared" si="14"/>
        <v>13062.850699999999</v>
      </c>
      <c r="K121" s="12">
        <v>46010</v>
      </c>
      <c r="L121" s="7" t="s">
        <v>175</v>
      </c>
      <c r="M121" s="34" t="s">
        <v>25</v>
      </c>
      <c r="N121" s="7" t="s">
        <v>176</v>
      </c>
      <c r="O121" s="7" t="s">
        <v>284</v>
      </c>
      <c r="P121" s="7" t="s">
        <v>303</v>
      </c>
      <c r="Q121" s="8" t="s">
        <v>179</v>
      </c>
      <c r="R121" s="9">
        <v>50241730</v>
      </c>
      <c r="S121" s="54">
        <f t="shared" si="8"/>
        <v>50241.73</v>
      </c>
      <c r="T121" s="9">
        <v>45217560</v>
      </c>
      <c r="U121" s="54">
        <f t="shared" si="9"/>
        <v>45217.56</v>
      </c>
      <c r="V121" s="10">
        <v>0.90000005971131969</v>
      </c>
      <c r="W121" s="11" t="s">
        <v>285</v>
      </c>
      <c r="X121" s="9">
        <v>0</v>
      </c>
      <c r="Y121" s="9">
        <f t="shared" si="10"/>
        <v>0</v>
      </c>
      <c r="Z121" s="11">
        <v>0</v>
      </c>
      <c r="AA121" s="11" t="s">
        <v>310</v>
      </c>
      <c r="AB121" s="66" t="s">
        <v>181</v>
      </c>
      <c r="AC121" s="11" t="str">
        <f t="shared" si="11"/>
        <v>ENERGISA</v>
      </c>
      <c r="AD121" s="11" t="s">
        <v>6</v>
      </c>
      <c r="AE121" s="10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f>AK121*1000</f>
        <v>45215510</v>
      </c>
      <c r="AK121" s="9">
        <v>45215.51</v>
      </c>
      <c r="AL121" s="9">
        <v>0.9</v>
      </c>
      <c r="AM121" s="9">
        <f>AN121*1000</f>
        <v>5026220</v>
      </c>
      <c r="AN121" s="9">
        <v>5026.22</v>
      </c>
      <c r="AO121" s="9">
        <v>0.1</v>
      </c>
      <c r="AP121" s="97" t="s">
        <v>184</v>
      </c>
      <c r="AQ121" s="100">
        <v>1</v>
      </c>
    </row>
    <row r="122" spans="1:43">
      <c r="A122" s="103">
        <v>45992</v>
      </c>
      <c r="B122" s="47" t="s">
        <v>198</v>
      </c>
      <c r="C122" s="2" t="s">
        <v>302</v>
      </c>
      <c r="D122" s="2" t="s">
        <v>311</v>
      </c>
      <c r="E122" s="4" t="s">
        <v>312</v>
      </c>
      <c r="F122" s="4" t="s">
        <v>173</v>
      </c>
      <c r="G122" s="5">
        <v>45992</v>
      </c>
      <c r="H122" s="31">
        <v>502417.3</v>
      </c>
      <c r="I122" s="31">
        <v>502417.3</v>
      </c>
      <c r="J122" s="52">
        <f t="shared" si="14"/>
        <v>502.41730000000001</v>
      </c>
      <c r="K122" s="12">
        <v>46010</v>
      </c>
      <c r="L122" s="7" t="s">
        <v>175</v>
      </c>
      <c r="M122" s="34" t="s">
        <v>25</v>
      </c>
      <c r="N122" s="7" t="s">
        <v>176</v>
      </c>
      <c r="O122" s="7" t="s">
        <v>284</v>
      </c>
      <c r="P122" s="7" t="s">
        <v>303</v>
      </c>
      <c r="Q122" s="8" t="s">
        <v>179</v>
      </c>
      <c r="R122" s="9">
        <v>0</v>
      </c>
      <c r="S122" s="54">
        <f t="shared" si="8"/>
        <v>0</v>
      </c>
      <c r="T122" s="9">
        <v>0</v>
      </c>
      <c r="U122" s="54">
        <f t="shared" si="9"/>
        <v>0</v>
      </c>
      <c r="V122" s="10">
        <v>0</v>
      </c>
      <c r="W122" s="11" t="s">
        <v>285</v>
      </c>
      <c r="X122" s="9">
        <v>0</v>
      </c>
      <c r="Y122" s="9">
        <f t="shared" si="10"/>
        <v>0</v>
      </c>
      <c r="Z122" s="11">
        <v>0</v>
      </c>
      <c r="AA122" s="11" t="s">
        <v>310</v>
      </c>
      <c r="AB122" s="66" t="s">
        <v>181</v>
      </c>
      <c r="AC122" s="11" t="str">
        <f t="shared" si="11"/>
        <v>ENERGISA</v>
      </c>
      <c r="AD122" s="11" t="s">
        <v>6</v>
      </c>
      <c r="AE122" s="10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7" t="s">
        <v>184</v>
      </c>
      <c r="AQ122" s="100">
        <v>0</v>
      </c>
    </row>
    <row r="123" spans="1:43" hidden="1">
      <c r="A123" s="103">
        <v>45870</v>
      </c>
      <c r="B123" s="47" t="s">
        <v>198</v>
      </c>
      <c r="C123" s="2" t="s">
        <v>199</v>
      </c>
      <c r="D123" s="2" t="s">
        <v>200</v>
      </c>
      <c r="E123" s="4" t="s">
        <v>201</v>
      </c>
      <c r="F123" s="4" t="s">
        <v>173</v>
      </c>
      <c r="G123" s="5">
        <v>45870</v>
      </c>
      <c r="H123" s="31">
        <v>26836261.100000001</v>
      </c>
      <c r="I123" s="31">
        <v>26836261.100000001</v>
      </c>
      <c r="J123" s="52">
        <f t="shared" si="14"/>
        <v>26836.2611</v>
      </c>
      <c r="K123" s="12">
        <v>45877</v>
      </c>
      <c r="L123" s="7" t="s">
        <v>175</v>
      </c>
      <c r="M123" s="34" t="s">
        <v>14</v>
      </c>
      <c r="N123" s="7" t="s">
        <v>176</v>
      </c>
      <c r="O123" s="7" t="s">
        <v>284</v>
      </c>
      <c r="P123" s="7" t="s">
        <v>203</v>
      </c>
      <c r="Q123" s="8" t="s">
        <v>179</v>
      </c>
      <c r="R123" s="9">
        <v>103216390</v>
      </c>
      <c r="S123" s="54">
        <f t="shared" si="8"/>
        <v>103216.39</v>
      </c>
      <c r="T123" s="9">
        <v>92894750</v>
      </c>
      <c r="U123" s="54">
        <f t="shared" si="9"/>
        <v>92894.75</v>
      </c>
      <c r="V123" s="10">
        <v>0.89999999031161626</v>
      </c>
      <c r="W123" s="11" t="s">
        <v>285</v>
      </c>
      <c r="X123" s="9">
        <v>0</v>
      </c>
      <c r="Y123" s="9">
        <f t="shared" si="10"/>
        <v>0</v>
      </c>
      <c r="Z123" s="11">
        <v>0</v>
      </c>
      <c r="AA123" s="11" t="s">
        <v>310</v>
      </c>
      <c r="AB123" s="66" t="s">
        <v>181</v>
      </c>
      <c r="AC123" s="11" t="str">
        <f t="shared" si="11"/>
        <v>ENERGISA</v>
      </c>
      <c r="AD123" s="11" t="s">
        <v>6</v>
      </c>
      <c r="AE123" s="10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f>AK123*1000</f>
        <v>93360080</v>
      </c>
      <c r="AK123" s="9">
        <v>93360.08</v>
      </c>
      <c r="AL123" s="9">
        <v>0.90449999999999997</v>
      </c>
      <c r="AM123" s="9">
        <f>AN123*1000</f>
        <v>9856310</v>
      </c>
      <c r="AN123" s="9">
        <v>9856.31</v>
      </c>
      <c r="AO123" s="9">
        <v>9.5500000000000002E-2</v>
      </c>
      <c r="AP123" s="97" t="s">
        <v>184</v>
      </c>
      <c r="AQ123" s="100">
        <v>0.99990000000000001</v>
      </c>
    </row>
    <row r="124" spans="1:43" hidden="1">
      <c r="A124" s="103">
        <v>45870</v>
      </c>
      <c r="B124" s="47" t="s">
        <v>198</v>
      </c>
      <c r="C124" s="2" t="s">
        <v>199</v>
      </c>
      <c r="D124" s="2" t="s">
        <v>311</v>
      </c>
      <c r="E124" s="4" t="s">
        <v>312</v>
      </c>
      <c r="F124" s="4" t="s">
        <v>173</v>
      </c>
      <c r="G124" s="5">
        <v>45870</v>
      </c>
      <c r="H124" s="31">
        <v>1032163.9</v>
      </c>
      <c r="I124" s="31">
        <v>1032163.9</v>
      </c>
      <c r="J124" s="52">
        <f t="shared" si="14"/>
        <v>1032.1639</v>
      </c>
      <c r="K124" s="12">
        <v>45877</v>
      </c>
      <c r="L124" s="7" t="s">
        <v>175</v>
      </c>
      <c r="M124" s="34" t="s">
        <v>14</v>
      </c>
      <c r="N124" s="7" t="s">
        <v>176</v>
      </c>
      <c r="O124" s="7" t="s">
        <v>284</v>
      </c>
      <c r="P124" s="7" t="s">
        <v>203</v>
      </c>
      <c r="Q124" s="8" t="s">
        <v>179</v>
      </c>
      <c r="R124" s="9">
        <v>0</v>
      </c>
      <c r="S124" s="54">
        <f t="shared" si="8"/>
        <v>0</v>
      </c>
      <c r="T124" s="9">
        <v>0</v>
      </c>
      <c r="U124" s="54">
        <f t="shared" si="9"/>
        <v>0</v>
      </c>
      <c r="V124" s="10">
        <v>0</v>
      </c>
      <c r="W124" s="11" t="s">
        <v>285</v>
      </c>
      <c r="X124" s="9">
        <v>0</v>
      </c>
      <c r="Y124" s="9">
        <f t="shared" si="10"/>
        <v>0</v>
      </c>
      <c r="Z124" s="11">
        <v>0</v>
      </c>
      <c r="AA124" s="11" t="s">
        <v>310</v>
      </c>
      <c r="AB124" s="66" t="s">
        <v>181</v>
      </c>
      <c r="AC124" s="11" t="str">
        <f t="shared" si="11"/>
        <v>ENERGISA</v>
      </c>
      <c r="AD124" s="11" t="s">
        <v>6</v>
      </c>
      <c r="AE124" s="10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7" t="s">
        <v>184</v>
      </c>
      <c r="AQ124" s="100">
        <v>0</v>
      </c>
    </row>
    <row r="125" spans="1:43" hidden="1">
      <c r="A125" s="103">
        <v>45931</v>
      </c>
      <c r="B125" s="47" t="s">
        <v>198</v>
      </c>
      <c r="C125" s="2" t="s">
        <v>199</v>
      </c>
      <c r="D125" s="2" t="s">
        <v>200</v>
      </c>
      <c r="E125" s="4" t="s">
        <v>201</v>
      </c>
      <c r="F125" s="4" t="s">
        <v>173</v>
      </c>
      <c r="G125" s="5">
        <v>45931</v>
      </c>
      <c r="H125" s="92">
        <v>26836261.100000001</v>
      </c>
      <c r="I125" s="88">
        <v>26836261.100000001</v>
      </c>
      <c r="J125" s="52">
        <f t="shared" si="14"/>
        <v>26836.2611</v>
      </c>
      <c r="K125" s="12">
        <v>45940</v>
      </c>
      <c r="L125" s="7" t="s">
        <v>175</v>
      </c>
      <c r="M125" s="34" t="s">
        <v>14</v>
      </c>
      <c r="N125" s="7" t="s">
        <v>176</v>
      </c>
      <c r="O125" s="84" t="s">
        <v>287</v>
      </c>
      <c r="P125" s="7" t="s">
        <v>203</v>
      </c>
      <c r="Q125" s="8" t="s">
        <v>179</v>
      </c>
      <c r="R125" s="9">
        <v>0</v>
      </c>
      <c r="S125" s="54">
        <f t="shared" si="8"/>
        <v>0</v>
      </c>
      <c r="T125" s="9">
        <v>0</v>
      </c>
      <c r="U125" s="54">
        <f t="shared" si="9"/>
        <v>0</v>
      </c>
      <c r="V125" s="11">
        <v>0</v>
      </c>
      <c r="W125" s="11" t="s">
        <v>285</v>
      </c>
      <c r="X125" s="9">
        <v>0</v>
      </c>
      <c r="Y125" s="9">
        <f t="shared" si="10"/>
        <v>0</v>
      </c>
      <c r="Z125" s="11">
        <v>0</v>
      </c>
      <c r="AA125" s="11" t="s">
        <v>310</v>
      </c>
      <c r="AB125" s="66" t="s">
        <v>181</v>
      </c>
      <c r="AC125" s="11" t="str">
        <f t="shared" si="11"/>
        <v>ENERGISA</v>
      </c>
      <c r="AD125" s="11" t="s">
        <v>6</v>
      </c>
      <c r="AE125" s="10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7" t="s">
        <v>184</v>
      </c>
      <c r="AQ125" s="100">
        <v>0</v>
      </c>
    </row>
    <row r="126" spans="1:43" hidden="1">
      <c r="A126" s="103">
        <v>45931</v>
      </c>
      <c r="B126" s="47" t="s">
        <v>198</v>
      </c>
      <c r="C126" s="2" t="s">
        <v>199</v>
      </c>
      <c r="D126" s="2" t="s">
        <v>200</v>
      </c>
      <c r="E126" s="4" t="s">
        <v>201</v>
      </c>
      <c r="F126" s="4" t="s">
        <v>173</v>
      </c>
      <c r="G126" s="5">
        <v>45931</v>
      </c>
      <c r="H126" s="93">
        <v>6537037.9699999997</v>
      </c>
      <c r="I126" s="91">
        <v>6537037.9699999997</v>
      </c>
      <c r="J126" s="52">
        <f t="shared" si="14"/>
        <v>6537.0379699999994</v>
      </c>
      <c r="K126" s="12">
        <v>45940</v>
      </c>
      <c r="L126" s="7" t="s">
        <v>175</v>
      </c>
      <c r="M126" s="34" t="s">
        <v>14</v>
      </c>
      <c r="N126" s="7" t="s">
        <v>176</v>
      </c>
      <c r="O126" s="84" t="s">
        <v>296</v>
      </c>
      <c r="P126" s="7" t="s">
        <v>203</v>
      </c>
      <c r="Q126" s="8" t="s">
        <v>179</v>
      </c>
      <c r="R126" s="9">
        <v>0</v>
      </c>
      <c r="S126" s="54">
        <f t="shared" si="8"/>
        <v>0</v>
      </c>
      <c r="T126" s="9">
        <v>0</v>
      </c>
      <c r="U126" s="54">
        <f t="shared" si="9"/>
        <v>0</v>
      </c>
      <c r="V126" s="11">
        <v>0</v>
      </c>
      <c r="W126" s="11" t="s">
        <v>285</v>
      </c>
      <c r="X126" s="9">
        <v>0</v>
      </c>
      <c r="Y126" s="9">
        <f t="shared" si="10"/>
        <v>0</v>
      </c>
      <c r="Z126" s="11">
        <v>0</v>
      </c>
      <c r="AA126" s="11" t="s">
        <v>310</v>
      </c>
      <c r="AB126" s="66" t="s">
        <v>181</v>
      </c>
      <c r="AC126" s="11" t="str">
        <f t="shared" si="11"/>
        <v>ENERGISA</v>
      </c>
      <c r="AD126" s="11" t="s">
        <v>6</v>
      </c>
      <c r="AE126" s="10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7" t="s">
        <v>184</v>
      </c>
      <c r="AQ126" s="100">
        <v>0</v>
      </c>
    </row>
    <row r="127" spans="1:43" hidden="1">
      <c r="A127" s="103">
        <v>45931</v>
      </c>
      <c r="B127" s="47" t="s">
        <v>198</v>
      </c>
      <c r="C127" s="2" t="s">
        <v>199</v>
      </c>
      <c r="D127" s="2" t="s">
        <v>200</v>
      </c>
      <c r="E127" s="4" t="s">
        <v>201</v>
      </c>
      <c r="F127" s="4" t="s">
        <v>173</v>
      </c>
      <c r="G127" s="5">
        <v>45931</v>
      </c>
      <c r="H127" s="93">
        <v>6537037.9699999997</v>
      </c>
      <c r="I127" s="91">
        <v>6537037.9699999997</v>
      </c>
      <c r="J127" s="52">
        <f t="shared" si="14"/>
        <v>6537.0379699999994</v>
      </c>
      <c r="K127" s="12">
        <v>45940</v>
      </c>
      <c r="L127" s="7" t="s">
        <v>175</v>
      </c>
      <c r="M127" s="34" t="s">
        <v>14</v>
      </c>
      <c r="N127" s="7" t="s">
        <v>176</v>
      </c>
      <c r="O127" s="84" t="s">
        <v>289</v>
      </c>
      <c r="P127" s="7" t="s">
        <v>203</v>
      </c>
      <c r="Q127" s="8" t="s">
        <v>179</v>
      </c>
      <c r="R127" s="9">
        <v>0</v>
      </c>
      <c r="S127" s="54">
        <f t="shared" si="8"/>
        <v>0</v>
      </c>
      <c r="T127" s="9">
        <v>0</v>
      </c>
      <c r="U127" s="54">
        <f t="shared" si="9"/>
        <v>0</v>
      </c>
      <c r="V127" s="11">
        <v>0</v>
      </c>
      <c r="W127" s="11" t="s">
        <v>285</v>
      </c>
      <c r="X127" s="9">
        <v>0</v>
      </c>
      <c r="Y127" s="9">
        <f t="shared" si="10"/>
        <v>0</v>
      </c>
      <c r="Z127" s="11">
        <v>0</v>
      </c>
      <c r="AA127" s="11" t="s">
        <v>310</v>
      </c>
      <c r="AB127" s="66" t="s">
        <v>181</v>
      </c>
      <c r="AC127" s="11" t="str">
        <f t="shared" si="11"/>
        <v>ENERGISA</v>
      </c>
      <c r="AD127" s="11" t="s">
        <v>6</v>
      </c>
      <c r="AE127" s="10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7" t="s">
        <v>184</v>
      </c>
      <c r="AQ127" s="100">
        <v>0</v>
      </c>
    </row>
    <row r="128" spans="1:43" hidden="1">
      <c r="A128" s="103">
        <v>45931</v>
      </c>
      <c r="B128" s="47" t="s">
        <v>198</v>
      </c>
      <c r="C128" s="2" t="s">
        <v>199</v>
      </c>
      <c r="D128" s="2" t="s">
        <v>200</v>
      </c>
      <c r="E128" s="4" t="s">
        <v>201</v>
      </c>
      <c r="F128" s="4" t="s">
        <v>173</v>
      </c>
      <c r="G128" s="5">
        <v>45931</v>
      </c>
      <c r="H128" s="93">
        <v>6537037.9699999997</v>
      </c>
      <c r="I128" s="91">
        <v>6537037.9699999997</v>
      </c>
      <c r="J128" s="52">
        <f t="shared" si="14"/>
        <v>6537.0379699999994</v>
      </c>
      <c r="K128" s="12">
        <v>45940</v>
      </c>
      <c r="L128" s="7" t="s">
        <v>175</v>
      </c>
      <c r="M128" s="34" t="s">
        <v>14</v>
      </c>
      <c r="N128" s="7" t="s">
        <v>176</v>
      </c>
      <c r="O128" s="84" t="s">
        <v>297</v>
      </c>
      <c r="P128" s="7" t="s">
        <v>203</v>
      </c>
      <c r="Q128" s="8" t="s">
        <v>179</v>
      </c>
      <c r="R128" s="9">
        <v>0</v>
      </c>
      <c r="S128" s="54">
        <f t="shared" si="8"/>
        <v>0</v>
      </c>
      <c r="T128" s="9">
        <v>0</v>
      </c>
      <c r="U128" s="54">
        <f t="shared" si="9"/>
        <v>0</v>
      </c>
      <c r="V128" s="11">
        <v>0</v>
      </c>
      <c r="W128" s="11" t="s">
        <v>285</v>
      </c>
      <c r="X128" s="9">
        <v>0</v>
      </c>
      <c r="Y128" s="9">
        <f t="shared" si="10"/>
        <v>0</v>
      </c>
      <c r="Z128" s="11">
        <v>0</v>
      </c>
      <c r="AA128" s="11" t="s">
        <v>310</v>
      </c>
      <c r="AB128" s="66" t="s">
        <v>181</v>
      </c>
      <c r="AC128" s="11" t="str">
        <f t="shared" si="11"/>
        <v>ENERGISA</v>
      </c>
      <c r="AD128" s="11" t="s">
        <v>6</v>
      </c>
      <c r="AE128" s="10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7" t="s">
        <v>184</v>
      </c>
      <c r="AQ128" s="100">
        <v>0</v>
      </c>
    </row>
    <row r="129" spans="1:43" hidden="1">
      <c r="A129" s="103">
        <v>45717</v>
      </c>
      <c r="B129" s="47" t="s">
        <v>290</v>
      </c>
      <c r="C129" s="2" t="s">
        <v>290</v>
      </c>
      <c r="D129" s="2" t="s">
        <v>294</v>
      </c>
      <c r="E129" s="4" t="s">
        <v>295</v>
      </c>
      <c r="F129" s="4" t="s">
        <v>173</v>
      </c>
      <c r="G129" s="5">
        <v>45716</v>
      </c>
      <c r="H129" s="31">
        <v>28220284.399999999</v>
      </c>
      <c r="I129" s="31">
        <v>28220284.399999999</v>
      </c>
      <c r="J129" s="52">
        <f t="shared" si="14"/>
        <v>28220.284399999997</v>
      </c>
      <c r="K129" s="12">
        <v>45723</v>
      </c>
      <c r="L129" s="7" t="s">
        <v>175</v>
      </c>
      <c r="M129" s="34" t="s">
        <v>12</v>
      </c>
      <c r="N129" s="7" t="s">
        <v>176</v>
      </c>
      <c r="O129" s="7" t="s">
        <v>284</v>
      </c>
      <c r="P129" s="7" t="s">
        <v>291</v>
      </c>
      <c r="Q129" s="8" t="s">
        <v>179</v>
      </c>
      <c r="R129" s="9">
        <v>108539560</v>
      </c>
      <c r="S129" s="54">
        <f t="shared" si="8"/>
        <v>108539.56</v>
      </c>
      <c r="T129" s="9">
        <v>97685600</v>
      </c>
      <c r="U129" s="54">
        <f t="shared" si="9"/>
        <v>97685.6</v>
      </c>
      <c r="V129" s="10">
        <v>0.89999996314707742</v>
      </c>
      <c r="W129" s="11" t="s">
        <v>285</v>
      </c>
      <c r="X129" s="9">
        <v>0</v>
      </c>
      <c r="Y129" s="9">
        <f t="shared" si="10"/>
        <v>0</v>
      </c>
      <c r="Z129" s="11">
        <v>0</v>
      </c>
      <c r="AA129" s="11" t="s">
        <v>310</v>
      </c>
      <c r="AB129" s="66" t="s">
        <v>181</v>
      </c>
      <c r="AC129" s="11" t="str">
        <f t="shared" si="11"/>
        <v>RORAIMA ENERGIA</v>
      </c>
      <c r="AD129" s="11" t="s">
        <v>6</v>
      </c>
      <c r="AE129" s="10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f>AK129*1000</f>
        <v>98672330</v>
      </c>
      <c r="AK129" s="9">
        <v>98672.33</v>
      </c>
      <c r="AL129" s="9">
        <v>0.90900000000000003</v>
      </c>
      <c r="AM129" s="9">
        <f>AN129*1000</f>
        <v>9867230</v>
      </c>
      <c r="AN129" s="9">
        <v>9867.23</v>
      </c>
      <c r="AO129" s="9">
        <v>9.0999999999999998E-2</v>
      </c>
      <c r="AP129" s="97" t="s">
        <v>184</v>
      </c>
      <c r="AQ129" s="100">
        <v>0.64580000000000004</v>
      </c>
    </row>
    <row r="130" spans="1:43" hidden="1">
      <c r="A130" s="103">
        <v>45717</v>
      </c>
      <c r="B130" s="47" t="s">
        <v>290</v>
      </c>
      <c r="C130" s="2" t="s">
        <v>290</v>
      </c>
      <c r="D130" s="2" t="s">
        <v>311</v>
      </c>
      <c r="E130" s="4" t="s">
        <v>312</v>
      </c>
      <c r="F130" s="4" t="s">
        <v>173</v>
      </c>
      <c r="G130" s="5">
        <v>45715</v>
      </c>
      <c r="H130" s="31">
        <v>1085395.6000000001</v>
      </c>
      <c r="I130" s="31">
        <v>1085395.6000000001</v>
      </c>
      <c r="J130" s="52">
        <f t="shared" si="14"/>
        <v>1085.3956000000001</v>
      </c>
      <c r="K130" s="12">
        <v>45723</v>
      </c>
      <c r="L130" s="7" t="s">
        <v>175</v>
      </c>
      <c r="M130" s="34" t="s">
        <v>12</v>
      </c>
      <c r="N130" s="7" t="s">
        <v>176</v>
      </c>
      <c r="O130" s="7" t="s">
        <v>284</v>
      </c>
      <c r="P130" s="7" t="s">
        <v>291</v>
      </c>
      <c r="Q130" s="8" t="s">
        <v>179</v>
      </c>
      <c r="R130" s="9">
        <v>0</v>
      </c>
      <c r="S130" s="54">
        <f t="shared" ref="S130:S193" si="15">R130/1000</f>
        <v>0</v>
      </c>
      <c r="T130" s="9">
        <v>0</v>
      </c>
      <c r="U130" s="54">
        <f t="shared" ref="U130:U193" si="16">T130/1000</f>
        <v>0</v>
      </c>
      <c r="V130" s="10">
        <v>0</v>
      </c>
      <c r="W130" s="11" t="s">
        <v>285</v>
      </c>
      <c r="X130" s="9">
        <v>0</v>
      </c>
      <c r="Y130" s="9">
        <f t="shared" ref="Y130:Y193" si="17">X130/1000</f>
        <v>0</v>
      </c>
      <c r="Z130" s="11">
        <v>0</v>
      </c>
      <c r="AA130" s="11" t="s">
        <v>310</v>
      </c>
      <c r="AB130" s="66" t="s">
        <v>181</v>
      </c>
      <c r="AC130" s="11" t="str">
        <f t="shared" si="11"/>
        <v>RORAIMA ENERGIA</v>
      </c>
      <c r="AD130" s="11" t="s">
        <v>6</v>
      </c>
      <c r="AE130" s="10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7" t="s">
        <v>184</v>
      </c>
      <c r="AQ130" s="100">
        <v>0</v>
      </c>
    </row>
    <row r="131" spans="1:43" hidden="1">
      <c r="A131" s="103">
        <v>45870</v>
      </c>
      <c r="B131" s="47" t="s">
        <v>290</v>
      </c>
      <c r="C131" s="2" t="s">
        <v>290</v>
      </c>
      <c r="D131" s="2" t="s">
        <v>294</v>
      </c>
      <c r="E131" s="4" t="s">
        <v>295</v>
      </c>
      <c r="F131" s="4" t="s">
        <v>173</v>
      </c>
      <c r="G131" s="5">
        <v>45870</v>
      </c>
      <c r="H131" s="31">
        <v>19537120</v>
      </c>
      <c r="I131" s="31">
        <v>19537120</v>
      </c>
      <c r="J131" s="52">
        <f t="shared" si="14"/>
        <v>19537.12</v>
      </c>
      <c r="K131" s="12">
        <v>45877</v>
      </c>
      <c r="L131" s="7" t="s">
        <v>175</v>
      </c>
      <c r="M131" s="34" t="s">
        <v>12</v>
      </c>
      <c r="N131" s="7" t="s">
        <v>176</v>
      </c>
      <c r="O131" s="7" t="s">
        <v>287</v>
      </c>
      <c r="P131" s="7" t="s">
        <v>291</v>
      </c>
      <c r="Q131" s="8" t="s">
        <v>179</v>
      </c>
      <c r="R131" s="9">
        <v>0</v>
      </c>
      <c r="S131" s="54">
        <f t="shared" si="15"/>
        <v>0</v>
      </c>
      <c r="T131" s="9">
        <v>0</v>
      </c>
      <c r="U131" s="54">
        <f t="shared" si="16"/>
        <v>0</v>
      </c>
      <c r="V131" s="10">
        <v>0</v>
      </c>
      <c r="W131" s="11" t="s">
        <v>285</v>
      </c>
      <c r="X131" s="9">
        <v>0</v>
      </c>
      <c r="Y131" s="9">
        <f t="shared" si="17"/>
        <v>0</v>
      </c>
      <c r="Z131" s="11">
        <v>0</v>
      </c>
      <c r="AA131" s="11" t="s">
        <v>310</v>
      </c>
      <c r="AB131" s="66" t="s">
        <v>181</v>
      </c>
      <c r="AC131" s="11" t="str">
        <f t="shared" si="11"/>
        <v>RORAIMA ENERGIA</v>
      </c>
      <c r="AD131" s="11" t="s">
        <v>6</v>
      </c>
      <c r="AE131" s="10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7" t="s">
        <v>184</v>
      </c>
      <c r="AQ131" s="100">
        <v>0</v>
      </c>
    </row>
    <row r="132" spans="1:43" hidden="1">
      <c r="A132" s="103">
        <v>45992</v>
      </c>
      <c r="B132" s="47" t="s">
        <v>290</v>
      </c>
      <c r="C132" s="2" t="s">
        <v>290</v>
      </c>
      <c r="D132" s="2" t="s">
        <v>294</v>
      </c>
      <c r="E132" s="4" t="s">
        <v>295</v>
      </c>
      <c r="F132" s="4" t="s">
        <v>173</v>
      </c>
      <c r="G132" s="5">
        <v>45992</v>
      </c>
      <c r="H132" s="31">
        <v>9768560</v>
      </c>
      <c r="I132" s="31">
        <v>9768560</v>
      </c>
      <c r="J132" s="52">
        <f t="shared" si="14"/>
        <v>9768.56</v>
      </c>
      <c r="K132" s="12">
        <v>46003</v>
      </c>
      <c r="L132" s="7" t="s">
        <v>175</v>
      </c>
      <c r="M132" s="34" t="s">
        <v>12</v>
      </c>
      <c r="N132" s="7" t="s">
        <v>176</v>
      </c>
      <c r="O132" s="7" t="s">
        <v>296</v>
      </c>
      <c r="P132" s="7" t="s">
        <v>291</v>
      </c>
      <c r="Q132" s="8" t="s">
        <v>179</v>
      </c>
      <c r="R132" s="9">
        <v>0</v>
      </c>
      <c r="S132" s="54">
        <f t="shared" si="15"/>
        <v>0</v>
      </c>
      <c r="T132" s="9">
        <v>0</v>
      </c>
      <c r="U132" s="54">
        <f t="shared" si="16"/>
        <v>0</v>
      </c>
      <c r="V132" s="11">
        <v>0</v>
      </c>
      <c r="W132" s="11" t="s">
        <v>285</v>
      </c>
      <c r="X132" s="9">
        <v>0</v>
      </c>
      <c r="Y132" s="9">
        <f t="shared" si="17"/>
        <v>0</v>
      </c>
      <c r="Z132" s="11">
        <v>0</v>
      </c>
      <c r="AA132" s="11" t="s">
        <v>310</v>
      </c>
      <c r="AB132" s="66" t="s">
        <v>181</v>
      </c>
      <c r="AC132" s="11" t="str">
        <f t="shared" si="11"/>
        <v>RORAIMA ENERGIA</v>
      </c>
      <c r="AD132" s="11" t="s">
        <v>6</v>
      </c>
      <c r="AE132" s="10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7" t="s">
        <v>184</v>
      </c>
      <c r="AQ132" s="100">
        <v>0</v>
      </c>
    </row>
    <row r="133" spans="1:43" hidden="1">
      <c r="A133" s="103">
        <v>46054</v>
      </c>
      <c r="B133" s="47" t="s">
        <v>290</v>
      </c>
      <c r="C133" s="2" t="s">
        <v>290</v>
      </c>
      <c r="D133" s="2" t="s">
        <v>294</v>
      </c>
      <c r="E133" s="4" t="s">
        <v>295</v>
      </c>
      <c r="F133" s="4" t="s">
        <v>173</v>
      </c>
      <c r="G133" s="5">
        <v>46082</v>
      </c>
      <c r="H133" s="31">
        <v>9768560</v>
      </c>
      <c r="I133" s="31">
        <v>9768560</v>
      </c>
      <c r="J133" s="52">
        <f t="shared" si="14"/>
        <v>9768.56</v>
      </c>
      <c r="K133" s="12">
        <v>46101</v>
      </c>
      <c r="L133" s="12" t="s">
        <v>175</v>
      </c>
      <c r="M133" s="34" t="s">
        <v>12</v>
      </c>
      <c r="N133" s="7" t="s">
        <v>176</v>
      </c>
      <c r="O133" s="14" t="s">
        <v>289</v>
      </c>
      <c r="P133" s="14" t="s">
        <v>291</v>
      </c>
      <c r="Q133" s="8" t="s">
        <v>179</v>
      </c>
      <c r="R133" s="9">
        <v>0</v>
      </c>
      <c r="S133" s="54">
        <f t="shared" si="15"/>
        <v>0</v>
      </c>
      <c r="T133" s="9">
        <v>0</v>
      </c>
      <c r="U133" s="54">
        <f t="shared" si="16"/>
        <v>0</v>
      </c>
      <c r="V133" s="11">
        <v>0</v>
      </c>
      <c r="W133" s="11" t="s">
        <v>285</v>
      </c>
      <c r="X133" s="9">
        <v>0</v>
      </c>
      <c r="Y133" s="9">
        <f t="shared" si="17"/>
        <v>0</v>
      </c>
      <c r="Z133" s="11">
        <v>0</v>
      </c>
      <c r="AA133" s="11" t="s">
        <v>310</v>
      </c>
      <c r="AB133" s="66" t="s">
        <v>181</v>
      </c>
      <c r="AC133" s="11" t="str">
        <f t="shared" si="11"/>
        <v>RORAIMA ENERGIA</v>
      </c>
      <c r="AD133" s="11" t="s">
        <v>6</v>
      </c>
      <c r="AE133" s="10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7" t="s">
        <v>184</v>
      </c>
      <c r="AQ133" s="100">
        <v>0</v>
      </c>
    </row>
    <row r="134" spans="1:43" hidden="1">
      <c r="A134" s="103">
        <v>45901</v>
      </c>
      <c r="B134" s="47" t="s">
        <v>187</v>
      </c>
      <c r="C134" s="2" t="s">
        <v>278</v>
      </c>
      <c r="D134" s="2" t="s">
        <v>279</v>
      </c>
      <c r="E134" s="4" t="s">
        <v>280</v>
      </c>
      <c r="F134" s="4" t="s">
        <v>173</v>
      </c>
      <c r="G134" s="5">
        <v>45901</v>
      </c>
      <c r="H134" s="31">
        <v>16383042</v>
      </c>
      <c r="I134" s="31">
        <v>16383042</v>
      </c>
      <c r="J134" s="52">
        <f t="shared" si="14"/>
        <v>16383.041999999999</v>
      </c>
      <c r="K134" s="12">
        <v>45912</v>
      </c>
      <c r="L134" s="7" t="s">
        <v>175</v>
      </c>
      <c r="M134" s="34" t="s">
        <v>20</v>
      </c>
      <c r="N134" s="7" t="s">
        <v>176</v>
      </c>
      <c r="O134" s="7" t="s">
        <v>284</v>
      </c>
      <c r="P134" s="7" t="s">
        <v>281</v>
      </c>
      <c r="Q134" s="8" t="s">
        <v>179</v>
      </c>
      <c r="R134" s="9">
        <v>63011700</v>
      </c>
      <c r="S134" s="54">
        <f t="shared" si="15"/>
        <v>63011.7</v>
      </c>
      <c r="T134" s="9">
        <v>56710530</v>
      </c>
      <c r="U134" s="54">
        <f t="shared" si="16"/>
        <v>56710.53</v>
      </c>
      <c r="V134" s="10">
        <v>0.9</v>
      </c>
      <c r="W134" s="11" t="s">
        <v>285</v>
      </c>
      <c r="X134" s="9">
        <v>0</v>
      </c>
      <c r="Y134" s="9">
        <f t="shared" si="17"/>
        <v>0</v>
      </c>
      <c r="Z134" s="11">
        <v>0</v>
      </c>
      <c r="AA134" s="11" t="s">
        <v>310</v>
      </c>
      <c r="AB134" s="66" t="s">
        <v>181</v>
      </c>
      <c r="AC134" s="11" t="str">
        <f t="shared" si="11"/>
        <v>EQUATORIAL</v>
      </c>
      <c r="AD134" s="11" t="s">
        <v>6</v>
      </c>
      <c r="AE134" s="10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f>AK134*1000</f>
        <v>57283360</v>
      </c>
      <c r="AK134" s="81">
        <v>57283.360000000001</v>
      </c>
      <c r="AL134" s="9">
        <v>0.90900000000000003</v>
      </c>
      <c r="AM134" s="9">
        <f>AN134*1000</f>
        <v>5728340</v>
      </c>
      <c r="AN134" s="81">
        <v>5728.34</v>
      </c>
      <c r="AO134" s="9">
        <v>9.0999999999999998E-2</v>
      </c>
      <c r="AP134" s="97" t="s">
        <v>184</v>
      </c>
      <c r="AQ134" s="100">
        <v>0.80959999999999999</v>
      </c>
    </row>
    <row r="135" spans="1:43" hidden="1">
      <c r="A135" s="103">
        <v>45901</v>
      </c>
      <c r="B135" s="47" t="s">
        <v>187</v>
      </c>
      <c r="C135" s="2" t="s">
        <v>278</v>
      </c>
      <c r="D135" s="2" t="s">
        <v>311</v>
      </c>
      <c r="E135" s="4" t="s">
        <v>312</v>
      </c>
      <c r="F135" s="4" t="s">
        <v>173</v>
      </c>
      <c r="G135" s="5">
        <v>45901</v>
      </c>
      <c r="H135" s="31">
        <v>630117</v>
      </c>
      <c r="I135" s="31">
        <v>630117</v>
      </c>
      <c r="J135" s="52">
        <f t="shared" si="14"/>
        <v>630.11699999999996</v>
      </c>
      <c r="K135" s="12">
        <v>45912</v>
      </c>
      <c r="L135" s="7" t="s">
        <v>175</v>
      </c>
      <c r="M135" s="34" t="s">
        <v>20</v>
      </c>
      <c r="N135" s="7" t="s">
        <v>176</v>
      </c>
      <c r="O135" s="7" t="s">
        <v>284</v>
      </c>
      <c r="P135" s="7" t="s">
        <v>281</v>
      </c>
      <c r="Q135" s="8" t="s">
        <v>179</v>
      </c>
      <c r="R135" s="9">
        <v>0</v>
      </c>
      <c r="S135" s="54">
        <f t="shared" si="15"/>
        <v>0</v>
      </c>
      <c r="T135" s="9">
        <v>0</v>
      </c>
      <c r="U135" s="54">
        <f t="shared" si="16"/>
        <v>0</v>
      </c>
      <c r="V135" s="11">
        <v>0</v>
      </c>
      <c r="W135" s="11" t="s">
        <v>285</v>
      </c>
      <c r="X135" s="9">
        <v>0</v>
      </c>
      <c r="Y135" s="9">
        <f t="shared" si="17"/>
        <v>0</v>
      </c>
      <c r="Z135" s="11">
        <v>0</v>
      </c>
      <c r="AA135" s="11" t="s">
        <v>310</v>
      </c>
      <c r="AB135" s="66" t="s">
        <v>181</v>
      </c>
      <c r="AC135" s="11" t="str">
        <f t="shared" si="11"/>
        <v>EQUATORIAL</v>
      </c>
      <c r="AD135" s="11" t="s">
        <v>6</v>
      </c>
      <c r="AE135" s="10">
        <v>0</v>
      </c>
      <c r="AF135" s="9">
        <v>0</v>
      </c>
      <c r="AG135" s="9">
        <v>0</v>
      </c>
      <c r="AH135" s="9">
        <v>0</v>
      </c>
      <c r="AI135" s="9">
        <v>0</v>
      </c>
      <c r="AJ135" s="81">
        <v>0</v>
      </c>
      <c r="AK135" s="81">
        <v>0</v>
      </c>
      <c r="AL135" s="81">
        <v>0</v>
      </c>
      <c r="AM135" s="81">
        <v>0</v>
      </c>
      <c r="AN135" s="81">
        <v>0</v>
      </c>
      <c r="AO135" s="81">
        <v>0</v>
      </c>
      <c r="AP135" s="97" t="s">
        <v>184</v>
      </c>
      <c r="AQ135" s="100">
        <v>0</v>
      </c>
    </row>
    <row r="136" spans="1:43" hidden="1">
      <c r="A136" s="103">
        <v>45992</v>
      </c>
      <c r="B136" s="47" t="s">
        <v>187</v>
      </c>
      <c r="C136" s="2" t="s">
        <v>278</v>
      </c>
      <c r="D136" s="2" t="s">
        <v>279</v>
      </c>
      <c r="E136" s="4" t="s">
        <v>280</v>
      </c>
      <c r="F136" s="4" t="s">
        <v>173</v>
      </c>
      <c r="G136" s="5">
        <v>45992</v>
      </c>
      <c r="H136" s="92">
        <v>11342106</v>
      </c>
      <c r="I136" s="88">
        <v>11342106</v>
      </c>
      <c r="J136" s="52">
        <f t="shared" si="14"/>
        <v>11342.106</v>
      </c>
      <c r="K136" s="12">
        <v>46010</v>
      </c>
      <c r="L136" s="7" t="s">
        <v>175</v>
      </c>
      <c r="M136" s="34" t="s">
        <v>20</v>
      </c>
      <c r="N136" s="7" t="s">
        <v>176</v>
      </c>
      <c r="O136" s="84" t="s">
        <v>287</v>
      </c>
      <c r="P136" s="7" t="s">
        <v>281</v>
      </c>
      <c r="Q136" s="8" t="s">
        <v>179</v>
      </c>
      <c r="R136" s="9">
        <v>0</v>
      </c>
      <c r="S136" s="54">
        <f t="shared" si="15"/>
        <v>0</v>
      </c>
      <c r="T136" s="9">
        <v>0</v>
      </c>
      <c r="U136" s="54">
        <f t="shared" si="16"/>
        <v>0</v>
      </c>
      <c r="V136" s="11">
        <v>0</v>
      </c>
      <c r="W136" s="11" t="s">
        <v>285</v>
      </c>
      <c r="X136" s="9">
        <v>0</v>
      </c>
      <c r="Y136" s="9">
        <f t="shared" si="17"/>
        <v>0</v>
      </c>
      <c r="Z136" s="11">
        <v>0</v>
      </c>
      <c r="AA136" s="11" t="s">
        <v>310</v>
      </c>
      <c r="AB136" s="66" t="s">
        <v>181</v>
      </c>
      <c r="AC136" s="11" t="str">
        <f t="shared" si="11"/>
        <v>EQUATORIAL</v>
      </c>
      <c r="AD136" s="11" t="s">
        <v>6</v>
      </c>
      <c r="AE136" s="10">
        <v>0</v>
      </c>
      <c r="AF136" s="9">
        <v>0</v>
      </c>
      <c r="AG136" s="9">
        <v>0</v>
      </c>
      <c r="AH136" s="9">
        <v>0</v>
      </c>
      <c r="AI136" s="9">
        <v>0</v>
      </c>
      <c r="AJ136" s="81">
        <v>0</v>
      </c>
      <c r="AK136" s="81">
        <v>0</v>
      </c>
      <c r="AL136" s="81">
        <v>0</v>
      </c>
      <c r="AM136" s="81">
        <v>0</v>
      </c>
      <c r="AN136" s="81">
        <v>0</v>
      </c>
      <c r="AO136" s="81">
        <v>0</v>
      </c>
      <c r="AP136" s="97" t="s">
        <v>184</v>
      </c>
      <c r="AQ136" s="100">
        <v>0</v>
      </c>
    </row>
    <row r="137" spans="1:43" hidden="1">
      <c r="A137" s="103">
        <v>45992</v>
      </c>
      <c r="B137" s="47" t="s">
        <v>187</v>
      </c>
      <c r="C137" s="2" t="s">
        <v>278</v>
      </c>
      <c r="D137" s="2" t="s">
        <v>279</v>
      </c>
      <c r="E137" s="4" t="s">
        <v>280</v>
      </c>
      <c r="F137" s="4" t="s">
        <v>173</v>
      </c>
      <c r="G137" s="5">
        <v>45992</v>
      </c>
      <c r="H137" s="93">
        <v>5671053</v>
      </c>
      <c r="I137" s="91">
        <v>5671053</v>
      </c>
      <c r="J137" s="52">
        <f t="shared" si="14"/>
        <v>5671.0529999999999</v>
      </c>
      <c r="K137" s="12">
        <v>46010</v>
      </c>
      <c r="L137" s="7" t="s">
        <v>175</v>
      </c>
      <c r="M137" s="34" t="s">
        <v>20</v>
      </c>
      <c r="N137" s="7" t="s">
        <v>176</v>
      </c>
      <c r="O137" s="84" t="s">
        <v>296</v>
      </c>
      <c r="P137" s="7" t="s">
        <v>281</v>
      </c>
      <c r="Q137" s="8" t="s">
        <v>179</v>
      </c>
      <c r="R137" s="9">
        <v>0</v>
      </c>
      <c r="S137" s="54">
        <f t="shared" si="15"/>
        <v>0</v>
      </c>
      <c r="T137" s="9">
        <v>0</v>
      </c>
      <c r="U137" s="54">
        <f t="shared" si="16"/>
        <v>0</v>
      </c>
      <c r="V137" s="11">
        <v>0</v>
      </c>
      <c r="W137" s="11" t="s">
        <v>285</v>
      </c>
      <c r="X137" s="9">
        <v>0</v>
      </c>
      <c r="Y137" s="9">
        <f t="shared" si="17"/>
        <v>0</v>
      </c>
      <c r="Z137" s="11">
        <v>0</v>
      </c>
      <c r="AA137" s="11" t="s">
        <v>310</v>
      </c>
      <c r="AB137" s="66" t="s">
        <v>181</v>
      </c>
      <c r="AC137" s="11" t="str">
        <f t="shared" si="11"/>
        <v>EQUATORIAL</v>
      </c>
      <c r="AD137" s="11" t="s">
        <v>6</v>
      </c>
      <c r="AE137" s="10">
        <v>0</v>
      </c>
      <c r="AF137" s="9">
        <v>0</v>
      </c>
      <c r="AG137" s="9">
        <v>0</v>
      </c>
      <c r="AH137" s="9">
        <v>0</v>
      </c>
      <c r="AI137" s="9">
        <v>0</v>
      </c>
      <c r="AJ137" s="81">
        <v>0</v>
      </c>
      <c r="AK137" s="81">
        <v>0</v>
      </c>
      <c r="AL137" s="81">
        <v>0</v>
      </c>
      <c r="AM137" s="81">
        <v>0</v>
      </c>
      <c r="AN137" s="81">
        <v>0</v>
      </c>
      <c r="AO137" s="81">
        <v>0</v>
      </c>
      <c r="AP137" s="97" t="s">
        <v>184</v>
      </c>
      <c r="AQ137" s="100">
        <v>0</v>
      </c>
    </row>
    <row r="138" spans="1:43" hidden="1">
      <c r="A138" s="103">
        <v>45992</v>
      </c>
      <c r="B138" s="47" t="s">
        <v>187</v>
      </c>
      <c r="C138" s="2" t="s">
        <v>278</v>
      </c>
      <c r="D138" s="2" t="s">
        <v>279</v>
      </c>
      <c r="E138" s="4" t="s">
        <v>280</v>
      </c>
      <c r="F138" s="4" t="s">
        <v>173</v>
      </c>
      <c r="G138" s="5">
        <v>45992</v>
      </c>
      <c r="H138" s="93">
        <v>5671053</v>
      </c>
      <c r="I138" s="91">
        <v>5671053</v>
      </c>
      <c r="J138" s="52">
        <f t="shared" si="14"/>
        <v>5671.0529999999999</v>
      </c>
      <c r="K138" s="12">
        <v>46010</v>
      </c>
      <c r="L138" s="7" t="s">
        <v>175</v>
      </c>
      <c r="M138" s="34" t="s">
        <v>20</v>
      </c>
      <c r="N138" s="7" t="s">
        <v>176</v>
      </c>
      <c r="O138" s="84" t="s">
        <v>289</v>
      </c>
      <c r="P138" s="7" t="s">
        <v>281</v>
      </c>
      <c r="Q138" s="8" t="s">
        <v>179</v>
      </c>
      <c r="R138" s="9">
        <v>0</v>
      </c>
      <c r="S138" s="54">
        <f t="shared" si="15"/>
        <v>0</v>
      </c>
      <c r="T138" s="9">
        <v>0</v>
      </c>
      <c r="U138" s="54">
        <f t="shared" si="16"/>
        <v>0</v>
      </c>
      <c r="V138" s="11">
        <v>0</v>
      </c>
      <c r="W138" s="11" t="s">
        <v>285</v>
      </c>
      <c r="X138" s="9">
        <v>0</v>
      </c>
      <c r="Y138" s="9">
        <f t="shared" si="17"/>
        <v>0</v>
      </c>
      <c r="Z138" s="11">
        <v>0</v>
      </c>
      <c r="AA138" s="11" t="s">
        <v>310</v>
      </c>
      <c r="AB138" s="66" t="s">
        <v>181</v>
      </c>
      <c r="AC138" s="11" t="str">
        <f t="shared" si="11"/>
        <v>EQUATORIAL</v>
      </c>
      <c r="AD138" s="11" t="s">
        <v>6</v>
      </c>
      <c r="AE138" s="10">
        <v>0</v>
      </c>
      <c r="AF138" s="9">
        <v>0</v>
      </c>
      <c r="AG138" s="9">
        <v>0</v>
      </c>
      <c r="AH138" s="9">
        <v>0</v>
      </c>
      <c r="AI138" s="9">
        <v>0</v>
      </c>
      <c r="AJ138" s="81">
        <v>0</v>
      </c>
      <c r="AK138" s="81">
        <v>0</v>
      </c>
      <c r="AL138" s="81">
        <v>0</v>
      </c>
      <c r="AM138" s="81">
        <v>0</v>
      </c>
      <c r="AN138" s="81">
        <v>0</v>
      </c>
      <c r="AO138" s="81">
        <v>0</v>
      </c>
      <c r="AP138" s="97" t="s">
        <v>184</v>
      </c>
      <c r="AQ138" s="100">
        <v>0</v>
      </c>
    </row>
    <row r="139" spans="1:43" hidden="1">
      <c r="A139" s="103">
        <v>45901</v>
      </c>
      <c r="B139" s="47" t="s">
        <v>187</v>
      </c>
      <c r="C139" s="2" t="s">
        <v>188</v>
      </c>
      <c r="D139" s="2" t="s">
        <v>307</v>
      </c>
      <c r="E139" s="4" t="s">
        <v>308</v>
      </c>
      <c r="F139" s="4" t="s">
        <v>173</v>
      </c>
      <c r="G139" s="5">
        <v>45901</v>
      </c>
      <c r="H139" s="31">
        <v>44619432.100000001</v>
      </c>
      <c r="I139" s="31">
        <v>44619432.100000001</v>
      </c>
      <c r="J139" s="52">
        <f t="shared" si="14"/>
        <v>44619.432099999998</v>
      </c>
      <c r="K139" s="12">
        <v>45930</v>
      </c>
      <c r="L139" s="7" t="s">
        <v>175</v>
      </c>
      <c r="M139" s="34" t="s">
        <v>21</v>
      </c>
      <c r="N139" s="7" t="s">
        <v>176</v>
      </c>
      <c r="O139" s="7" t="s">
        <v>284</v>
      </c>
      <c r="P139" s="7" t="s">
        <v>192</v>
      </c>
      <c r="Q139" s="8" t="s">
        <v>179</v>
      </c>
      <c r="R139" s="9">
        <v>171613190</v>
      </c>
      <c r="S139" s="54">
        <f t="shared" si="15"/>
        <v>171613.19</v>
      </c>
      <c r="T139" s="9">
        <v>154451880</v>
      </c>
      <c r="U139" s="54">
        <f t="shared" si="16"/>
        <v>154451.88</v>
      </c>
      <c r="V139" s="10">
        <v>0.90000005244352144</v>
      </c>
      <c r="W139" s="11" t="s">
        <v>285</v>
      </c>
      <c r="X139" s="9">
        <v>0</v>
      </c>
      <c r="Y139" s="9">
        <f t="shared" si="17"/>
        <v>0</v>
      </c>
      <c r="Z139" s="11">
        <v>0</v>
      </c>
      <c r="AA139" s="11" t="s">
        <v>310</v>
      </c>
      <c r="AB139" s="66" t="s">
        <v>181</v>
      </c>
      <c r="AC139" s="11" t="str">
        <f t="shared" si="11"/>
        <v>EQUATORIAL</v>
      </c>
      <c r="AD139" s="11" t="s">
        <v>6</v>
      </c>
      <c r="AE139" s="10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f>AK139*1000</f>
        <v>156011970</v>
      </c>
      <c r="AK139" s="9">
        <v>156011.97</v>
      </c>
      <c r="AL139" s="81">
        <v>0.90900000000000003</v>
      </c>
      <c r="AM139" s="9">
        <f>AN139*1000</f>
        <v>15601220</v>
      </c>
      <c r="AN139" s="9">
        <v>15601.22</v>
      </c>
      <c r="AO139" s="9">
        <v>0.91</v>
      </c>
      <c r="AP139" s="97" t="s">
        <v>184</v>
      </c>
      <c r="AQ139" s="100">
        <v>0.65039999999999998</v>
      </c>
    </row>
    <row r="140" spans="1:43" hidden="1">
      <c r="A140" s="103">
        <v>45992</v>
      </c>
      <c r="B140" s="47" t="s">
        <v>187</v>
      </c>
      <c r="C140" s="2" t="s">
        <v>188</v>
      </c>
      <c r="D140" s="2" t="s">
        <v>307</v>
      </c>
      <c r="E140" s="4" t="s">
        <v>308</v>
      </c>
      <c r="F140" s="4" t="s">
        <v>173</v>
      </c>
      <c r="G140" s="5">
        <v>45992</v>
      </c>
      <c r="H140" s="31">
        <v>23167782</v>
      </c>
      <c r="I140" s="31">
        <v>23167782</v>
      </c>
      <c r="J140" s="52">
        <f t="shared" si="14"/>
        <v>23167.781999999999</v>
      </c>
      <c r="K140" s="12">
        <v>46003</v>
      </c>
      <c r="L140" s="7" t="s">
        <v>175</v>
      </c>
      <c r="M140" s="34" t="s">
        <v>21</v>
      </c>
      <c r="N140" s="7" t="s">
        <v>176</v>
      </c>
      <c r="O140" s="84" t="s">
        <v>287</v>
      </c>
      <c r="P140" s="7" t="s">
        <v>192</v>
      </c>
      <c r="Q140" s="8" t="s">
        <v>179</v>
      </c>
      <c r="R140" s="9">
        <v>0</v>
      </c>
      <c r="S140" s="54">
        <f t="shared" si="15"/>
        <v>0</v>
      </c>
      <c r="T140" s="9">
        <v>0</v>
      </c>
      <c r="U140" s="54">
        <f t="shared" si="16"/>
        <v>0</v>
      </c>
      <c r="V140" s="11">
        <v>0</v>
      </c>
      <c r="W140" s="11" t="s">
        <v>285</v>
      </c>
      <c r="X140" s="9">
        <v>0</v>
      </c>
      <c r="Y140" s="9">
        <f t="shared" si="17"/>
        <v>0</v>
      </c>
      <c r="Z140" s="11">
        <v>0</v>
      </c>
      <c r="AA140" s="11" t="s">
        <v>310</v>
      </c>
      <c r="AB140" s="66" t="s">
        <v>181</v>
      </c>
      <c r="AC140" s="11" t="str">
        <f t="shared" si="11"/>
        <v>EQUATORIAL</v>
      </c>
      <c r="AD140" s="11" t="s">
        <v>6</v>
      </c>
      <c r="AE140" s="10">
        <v>0</v>
      </c>
      <c r="AF140" s="9">
        <v>0</v>
      </c>
      <c r="AG140" s="9">
        <v>0</v>
      </c>
      <c r="AH140" s="9">
        <v>0</v>
      </c>
      <c r="AI140" s="9">
        <v>0</v>
      </c>
      <c r="AJ140" s="81">
        <v>0</v>
      </c>
      <c r="AK140" s="81">
        <v>0</v>
      </c>
      <c r="AL140" s="81">
        <v>0</v>
      </c>
      <c r="AM140" s="81">
        <v>0</v>
      </c>
      <c r="AN140" s="81">
        <v>0</v>
      </c>
      <c r="AO140" s="81">
        <v>0</v>
      </c>
      <c r="AP140" s="97" t="s">
        <v>184</v>
      </c>
      <c r="AQ140" s="100">
        <v>0</v>
      </c>
    </row>
    <row r="141" spans="1:43" hidden="1">
      <c r="A141" s="103">
        <v>45992</v>
      </c>
      <c r="B141" s="47" t="s">
        <v>187</v>
      </c>
      <c r="C141" s="2" t="s">
        <v>188</v>
      </c>
      <c r="D141" s="2" t="s">
        <v>307</v>
      </c>
      <c r="E141" s="4" t="s">
        <v>308</v>
      </c>
      <c r="F141" s="4" t="s">
        <v>173</v>
      </c>
      <c r="G141" s="5">
        <v>45992</v>
      </c>
      <c r="H141" s="31">
        <v>23167782</v>
      </c>
      <c r="I141" s="31">
        <v>23167782</v>
      </c>
      <c r="J141" s="52">
        <f t="shared" si="14"/>
        <v>23167.781999999999</v>
      </c>
      <c r="K141" s="12">
        <v>46003</v>
      </c>
      <c r="L141" s="7" t="s">
        <v>175</v>
      </c>
      <c r="M141" s="34" t="s">
        <v>21</v>
      </c>
      <c r="N141" s="7" t="s">
        <v>176</v>
      </c>
      <c r="O141" s="84" t="s">
        <v>296</v>
      </c>
      <c r="P141" s="7" t="s">
        <v>192</v>
      </c>
      <c r="Q141" s="8" t="s">
        <v>179</v>
      </c>
      <c r="R141" s="9">
        <v>0</v>
      </c>
      <c r="S141" s="54">
        <f t="shared" si="15"/>
        <v>0</v>
      </c>
      <c r="T141" s="9">
        <v>0</v>
      </c>
      <c r="U141" s="54">
        <f t="shared" si="16"/>
        <v>0</v>
      </c>
      <c r="V141" s="11">
        <v>0</v>
      </c>
      <c r="W141" s="11" t="s">
        <v>285</v>
      </c>
      <c r="X141" s="9">
        <v>0</v>
      </c>
      <c r="Y141" s="9">
        <f t="shared" si="17"/>
        <v>0</v>
      </c>
      <c r="Z141" s="11">
        <v>0</v>
      </c>
      <c r="AA141" s="11" t="s">
        <v>310</v>
      </c>
      <c r="AB141" s="66" t="s">
        <v>181</v>
      </c>
      <c r="AC141" s="11" t="str">
        <f t="shared" si="11"/>
        <v>EQUATORIAL</v>
      </c>
      <c r="AD141" s="11" t="s">
        <v>6</v>
      </c>
      <c r="AE141" s="10">
        <v>0</v>
      </c>
      <c r="AF141" s="9">
        <v>0</v>
      </c>
      <c r="AG141" s="9">
        <v>0</v>
      </c>
      <c r="AH141" s="9">
        <v>0</v>
      </c>
      <c r="AI141" s="9">
        <v>0</v>
      </c>
      <c r="AJ141" s="81">
        <v>0</v>
      </c>
      <c r="AK141" s="81">
        <v>0</v>
      </c>
      <c r="AL141" s="81">
        <v>0</v>
      </c>
      <c r="AM141" s="81">
        <v>0</v>
      </c>
      <c r="AN141" s="81">
        <v>0</v>
      </c>
      <c r="AO141" s="81">
        <v>0</v>
      </c>
      <c r="AP141" s="97" t="s">
        <v>184</v>
      </c>
      <c r="AQ141" s="100">
        <v>0</v>
      </c>
    </row>
    <row r="142" spans="1:43" hidden="1">
      <c r="A142" s="103">
        <v>45901</v>
      </c>
      <c r="B142" s="47" t="s">
        <v>187</v>
      </c>
      <c r="C142" s="2" t="s">
        <v>188</v>
      </c>
      <c r="D142" s="2" t="s">
        <v>311</v>
      </c>
      <c r="E142" s="4" t="s">
        <v>312</v>
      </c>
      <c r="F142" s="4" t="s">
        <v>173</v>
      </c>
      <c r="G142" s="5">
        <v>45901</v>
      </c>
      <c r="H142" s="31">
        <v>1716131.9</v>
      </c>
      <c r="I142" s="31">
        <v>1716131.9</v>
      </c>
      <c r="J142" s="52">
        <f t="shared" si="14"/>
        <v>1716.1318999999999</v>
      </c>
      <c r="K142" s="12">
        <v>45930</v>
      </c>
      <c r="L142" s="7" t="s">
        <v>175</v>
      </c>
      <c r="M142" s="34" t="s">
        <v>21</v>
      </c>
      <c r="N142" s="7" t="s">
        <v>176</v>
      </c>
      <c r="O142" s="7" t="s">
        <v>284</v>
      </c>
      <c r="P142" s="7" t="s">
        <v>192</v>
      </c>
      <c r="Q142" s="8" t="s">
        <v>179</v>
      </c>
      <c r="R142" s="9">
        <v>0</v>
      </c>
      <c r="S142" s="54">
        <f t="shared" si="15"/>
        <v>0</v>
      </c>
      <c r="T142" s="9">
        <v>0</v>
      </c>
      <c r="U142" s="54">
        <f t="shared" si="16"/>
        <v>0</v>
      </c>
      <c r="V142" s="10">
        <v>0</v>
      </c>
      <c r="W142" s="11" t="s">
        <v>285</v>
      </c>
      <c r="X142" s="9">
        <v>0</v>
      </c>
      <c r="Y142" s="9">
        <f t="shared" si="17"/>
        <v>0</v>
      </c>
      <c r="Z142" s="11">
        <v>0</v>
      </c>
      <c r="AA142" s="11" t="s">
        <v>310</v>
      </c>
      <c r="AB142" s="66" t="s">
        <v>181</v>
      </c>
      <c r="AC142" s="11" t="str">
        <f t="shared" si="11"/>
        <v>EQUATORIAL</v>
      </c>
      <c r="AD142" s="11" t="s">
        <v>6</v>
      </c>
      <c r="AE142" s="10">
        <v>0</v>
      </c>
      <c r="AF142" s="9">
        <v>0</v>
      </c>
      <c r="AG142" s="9">
        <v>0</v>
      </c>
      <c r="AH142" s="9">
        <v>0</v>
      </c>
      <c r="AI142" s="9">
        <v>0</v>
      </c>
      <c r="AJ142" s="81">
        <v>0</v>
      </c>
      <c r="AK142" s="81">
        <v>0</v>
      </c>
      <c r="AL142" s="81">
        <v>0</v>
      </c>
      <c r="AM142" s="81">
        <v>0</v>
      </c>
      <c r="AN142" s="81">
        <v>0</v>
      </c>
      <c r="AO142" s="81">
        <v>0</v>
      </c>
      <c r="AP142" s="97" t="s">
        <v>184</v>
      </c>
      <c r="AQ142" s="100">
        <v>0</v>
      </c>
    </row>
    <row r="143" spans="1:43" hidden="1">
      <c r="A143" s="103">
        <v>45931</v>
      </c>
      <c r="B143" s="47" t="s">
        <v>198</v>
      </c>
      <c r="C143" s="2" t="s">
        <v>205</v>
      </c>
      <c r="D143" s="2" t="s">
        <v>206</v>
      </c>
      <c r="E143" s="4" t="s">
        <v>207</v>
      </c>
      <c r="F143" s="4" t="s">
        <v>173</v>
      </c>
      <c r="G143" s="5">
        <v>45931</v>
      </c>
      <c r="H143" s="31">
        <v>7832448</v>
      </c>
      <c r="I143" s="31">
        <v>7832448</v>
      </c>
      <c r="J143" s="52">
        <f t="shared" si="14"/>
        <v>7832.4480000000003</v>
      </c>
      <c r="K143" s="12">
        <v>45961</v>
      </c>
      <c r="L143" s="7" t="s">
        <v>175</v>
      </c>
      <c r="M143" s="34" t="s">
        <v>24</v>
      </c>
      <c r="N143" s="7" t="s">
        <v>202</v>
      </c>
      <c r="O143" s="7" t="s">
        <v>284</v>
      </c>
      <c r="P143" s="7" t="s">
        <v>209</v>
      </c>
      <c r="Q143" s="8" t="s">
        <v>179</v>
      </c>
      <c r="R143" s="9">
        <v>30124800</v>
      </c>
      <c r="S143" s="54">
        <f t="shared" si="15"/>
        <v>30124.799999999999</v>
      </c>
      <c r="T143" s="9">
        <v>27112320</v>
      </c>
      <c r="U143" s="54">
        <f t="shared" si="16"/>
        <v>27112.32</v>
      </c>
      <c r="V143" s="10">
        <v>0.9</v>
      </c>
      <c r="W143" s="11" t="s">
        <v>285</v>
      </c>
      <c r="X143" s="9">
        <v>0</v>
      </c>
      <c r="Y143" s="9">
        <f t="shared" si="17"/>
        <v>0</v>
      </c>
      <c r="Z143" s="11">
        <v>0</v>
      </c>
      <c r="AA143" s="11" t="s">
        <v>310</v>
      </c>
      <c r="AB143" s="66" t="s">
        <v>204</v>
      </c>
      <c r="AC143" s="11" t="str">
        <f t="shared" si="11"/>
        <v>ENERGISA</v>
      </c>
      <c r="AD143" s="11" t="s">
        <v>6</v>
      </c>
      <c r="AE143" s="10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f>AK143*1000</f>
        <v>27113390</v>
      </c>
      <c r="AK143" s="9">
        <v>27113.39</v>
      </c>
      <c r="AL143" s="9">
        <v>0.9</v>
      </c>
      <c r="AM143" s="9">
        <f>AN143*1000</f>
        <v>3011410</v>
      </c>
      <c r="AN143" s="9">
        <v>3011.41</v>
      </c>
      <c r="AO143" s="9">
        <v>0.1</v>
      </c>
      <c r="AP143" s="97" t="s">
        <v>184</v>
      </c>
      <c r="AQ143" s="100">
        <v>1</v>
      </c>
    </row>
    <row r="144" spans="1:43" hidden="1">
      <c r="A144" s="103">
        <v>45931</v>
      </c>
      <c r="B144" s="47" t="s">
        <v>198</v>
      </c>
      <c r="C144" s="2" t="s">
        <v>205</v>
      </c>
      <c r="D144" s="2" t="s">
        <v>311</v>
      </c>
      <c r="E144" s="4" t="s">
        <v>312</v>
      </c>
      <c r="F144" s="4" t="s">
        <v>173</v>
      </c>
      <c r="G144" s="5">
        <v>45931</v>
      </c>
      <c r="H144" s="31">
        <v>301248</v>
      </c>
      <c r="I144" s="31">
        <v>301248</v>
      </c>
      <c r="J144" s="52">
        <f t="shared" si="14"/>
        <v>301.24799999999999</v>
      </c>
      <c r="K144" s="12">
        <v>45961</v>
      </c>
      <c r="L144" s="7" t="s">
        <v>175</v>
      </c>
      <c r="M144" s="34" t="s">
        <v>24</v>
      </c>
      <c r="N144" s="7" t="s">
        <v>202</v>
      </c>
      <c r="O144" s="7" t="s">
        <v>284</v>
      </c>
      <c r="P144" s="7" t="s">
        <v>209</v>
      </c>
      <c r="Q144" s="8" t="s">
        <v>179</v>
      </c>
      <c r="R144" s="9">
        <v>0</v>
      </c>
      <c r="S144" s="54">
        <f t="shared" si="15"/>
        <v>0</v>
      </c>
      <c r="T144" s="9">
        <v>0</v>
      </c>
      <c r="U144" s="54">
        <f t="shared" si="16"/>
        <v>0</v>
      </c>
      <c r="V144" s="10">
        <v>0</v>
      </c>
      <c r="W144" s="11" t="s">
        <v>285</v>
      </c>
      <c r="X144" s="9">
        <v>0</v>
      </c>
      <c r="Y144" s="9">
        <f t="shared" si="17"/>
        <v>0</v>
      </c>
      <c r="Z144" s="11">
        <v>0</v>
      </c>
      <c r="AA144" s="11" t="s">
        <v>310</v>
      </c>
      <c r="AB144" s="66" t="s">
        <v>204</v>
      </c>
      <c r="AC144" s="11" t="str">
        <f t="shared" si="11"/>
        <v>ENERGISA</v>
      </c>
      <c r="AD144" s="11" t="s">
        <v>6</v>
      </c>
      <c r="AE144" s="10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7" t="s">
        <v>184</v>
      </c>
      <c r="AQ144" s="100">
        <v>0</v>
      </c>
    </row>
    <row r="145" spans="1:43" hidden="1">
      <c r="A145" s="103">
        <v>45992</v>
      </c>
      <c r="B145" s="47" t="s">
        <v>198</v>
      </c>
      <c r="C145" s="2" t="s">
        <v>205</v>
      </c>
      <c r="D145" s="2" t="s">
        <v>206</v>
      </c>
      <c r="E145" s="4" t="s">
        <v>207</v>
      </c>
      <c r="F145" s="4" t="s">
        <v>173</v>
      </c>
      <c r="G145" s="5">
        <v>45992</v>
      </c>
      <c r="H145" s="92">
        <v>5422464</v>
      </c>
      <c r="I145" s="88">
        <v>5422464</v>
      </c>
      <c r="J145" s="52">
        <f t="shared" si="14"/>
        <v>5422.4639999999999</v>
      </c>
      <c r="K145" s="12">
        <v>46010</v>
      </c>
      <c r="L145" s="7" t="s">
        <v>175</v>
      </c>
      <c r="M145" s="34" t="s">
        <v>24</v>
      </c>
      <c r="N145" s="7" t="s">
        <v>202</v>
      </c>
      <c r="O145" s="84" t="s">
        <v>287</v>
      </c>
      <c r="P145" s="7" t="s">
        <v>209</v>
      </c>
      <c r="Q145" s="8" t="s">
        <v>179</v>
      </c>
      <c r="R145" s="9">
        <v>0</v>
      </c>
      <c r="S145" s="54">
        <f t="shared" si="15"/>
        <v>0</v>
      </c>
      <c r="T145" s="9">
        <v>0</v>
      </c>
      <c r="U145" s="54">
        <f t="shared" si="16"/>
        <v>0</v>
      </c>
      <c r="V145" s="11">
        <v>0</v>
      </c>
      <c r="W145" s="11" t="s">
        <v>285</v>
      </c>
      <c r="X145" s="9">
        <v>0</v>
      </c>
      <c r="Y145" s="9">
        <f t="shared" si="17"/>
        <v>0</v>
      </c>
      <c r="Z145" s="11">
        <v>0</v>
      </c>
      <c r="AA145" s="11" t="s">
        <v>310</v>
      </c>
      <c r="AB145" s="66" t="s">
        <v>204</v>
      </c>
      <c r="AC145" s="11" t="str">
        <f t="shared" si="11"/>
        <v>ENERGISA</v>
      </c>
      <c r="AD145" s="11" t="s">
        <v>6</v>
      </c>
      <c r="AE145" s="10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7" t="s">
        <v>184</v>
      </c>
      <c r="AQ145" s="100">
        <v>0</v>
      </c>
    </row>
    <row r="146" spans="1:43" hidden="1">
      <c r="A146" s="103">
        <v>45992</v>
      </c>
      <c r="B146" s="47" t="s">
        <v>198</v>
      </c>
      <c r="C146" s="2" t="s">
        <v>205</v>
      </c>
      <c r="D146" s="2" t="s">
        <v>206</v>
      </c>
      <c r="E146" s="4" t="s">
        <v>207</v>
      </c>
      <c r="F146" s="4" t="s">
        <v>173</v>
      </c>
      <c r="G146" s="5">
        <v>45992</v>
      </c>
      <c r="H146" s="93">
        <v>2711232</v>
      </c>
      <c r="I146" s="91">
        <v>2711232</v>
      </c>
      <c r="J146" s="52">
        <f t="shared" ref="J146:J177" si="18">I146/1000</f>
        <v>2711.232</v>
      </c>
      <c r="K146" s="12">
        <v>46010</v>
      </c>
      <c r="L146" s="7" t="s">
        <v>175</v>
      </c>
      <c r="M146" s="34" t="s">
        <v>24</v>
      </c>
      <c r="N146" s="7" t="s">
        <v>202</v>
      </c>
      <c r="O146" s="84" t="s">
        <v>296</v>
      </c>
      <c r="P146" s="7" t="s">
        <v>209</v>
      </c>
      <c r="Q146" s="8" t="s">
        <v>179</v>
      </c>
      <c r="R146" s="9">
        <v>0</v>
      </c>
      <c r="S146" s="54">
        <f t="shared" si="15"/>
        <v>0</v>
      </c>
      <c r="T146" s="9">
        <v>0</v>
      </c>
      <c r="U146" s="54">
        <f t="shared" si="16"/>
        <v>0</v>
      </c>
      <c r="V146" s="11">
        <v>0</v>
      </c>
      <c r="W146" s="11" t="s">
        <v>285</v>
      </c>
      <c r="X146" s="9">
        <v>0</v>
      </c>
      <c r="Y146" s="9">
        <f t="shared" si="17"/>
        <v>0</v>
      </c>
      <c r="Z146" s="11">
        <v>0</v>
      </c>
      <c r="AA146" s="11" t="s">
        <v>310</v>
      </c>
      <c r="AB146" s="66" t="s">
        <v>204</v>
      </c>
      <c r="AC146" s="11" t="str">
        <f t="shared" si="11"/>
        <v>ENERGISA</v>
      </c>
      <c r="AD146" s="11" t="s">
        <v>6</v>
      </c>
      <c r="AE146" s="10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7" t="s">
        <v>184</v>
      </c>
      <c r="AQ146" s="100">
        <v>0</v>
      </c>
    </row>
    <row r="147" spans="1:43" hidden="1">
      <c r="A147" s="103">
        <v>45992</v>
      </c>
      <c r="B147" s="47" t="s">
        <v>198</v>
      </c>
      <c r="C147" s="2" t="s">
        <v>205</v>
      </c>
      <c r="D147" s="2" t="s">
        <v>206</v>
      </c>
      <c r="E147" s="4" t="s">
        <v>207</v>
      </c>
      <c r="F147" s="4" t="s">
        <v>173</v>
      </c>
      <c r="G147" s="5">
        <v>45992</v>
      </c>
      <c r="H147" s="93">
        <v>2711232</v>
      </c>
      <c r="I147" s="91">
        <v>2711232</v>
      </c>
      <c r="J147" s="52">
        <f t="shared" si="18"/>
        <v>2711.232</v>
      </c>
      <c r="K147" s="12">
        <v>46010</v>
      </c>
      <c r="L147" s="7" t="s">
        <v>175</v>
      </c>
      <c r="M147" s="34" t="s">
        <v>24</v>
      </c>
      <c r="N147" s="7" t="s">
        <v>202</v>
      </c>
      <c r="O147" s="84" t="s">
        <v>289</v>
      </c>
      <c r="P147" s="7" t="s">
        <v>209</v>
      </c>
      <c r="Q147" s="8" t="s">
        <v>179</v>
      </c>
      <c r="R147" s="9">
        <v>0</v>
      </c>
      <c r="S147" s="54">
        <f t="shared" si="15"/>
        <v>0</v>
      </c>
      <c r="T147" s="9">
        <v>0</v>
      </c>
      <c r="U147" s="54">
        <f t="shared" si="16"/>
        <v>0</v>
      </c>
      <c r="V147" s="11">
        <v>0</v>
      </c>
      <c r="W147" s="11" t="s">
        <v>285</v>
      </c>
      <c r="X147" s="9">
        <v>0</v>
      </c>
      <c r="Y147" s="9">
        <f t="shared" si="17"/>
        <v>0</v>
      </c>
      <c r="Z147" s="11">
        <v>0</v>
      </c>
      <c r="AA147" s="11" t="s">
        <v>310</v>
      </c>
      <c r="AB147" s="66" t="s">
        <v>204</v>
      </c>
      <c r="AC147" s="11" t="str">
        <f t="shared" si="11"/>
        <v>ENERGISA</v>
      </c>
      <c r="AD147" s="11" t="s">
        <v>6</v>
      </c>
      <c r="AE147" s="10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7" t="s">
        <v>184</v>
      </c>
      <c r="AQ147" s="100">
        <v>0</v>
      </c>
    </row>
    <row r="148" spans="1:43" hidden="1">
      <c r="A148" s="103">
        <v>45992</v>
      </c>
      <c r="B148" s="47" t="s">
        <v>198</v>
      </c>
      <c r="C148" s="2" t="s">
        <v>205</v>
      </c>
      <c r="D148" s="2" t="s">
        <v>206</v>
      </c>
      <c r="E148" s="4" t="s">
        <v>207</v>
      </c>
      <c r="F148" s="4" t="s">
        <v>173</v>
      </c>
      <c r="G148" s="5">
        <v>45992</v>
      </c>
      <c r="H148" s="93">
        <v>2711232</v>
      </c>
      <c r="I148" s="91">
        <v>2711232</v>
      </c>
      <c r="J148" s="52">
        <f t="shared" si="18"/>
        <v>2711.232</v>
      </c>
      <c r="K148" s="12">
        <v>46010</v>
      </c>
      <c r="L148" s="7" t="s">
        <v>175</v>
      </c>
      <c r="M148" s="34" t="s">
        <v>24</v>
      </c>
      <c r="N148" s="7" t="s">
        <v>202</v>
      </c>
      <c r="O148" s="84" t="s">
        <v>297</v>
      </c>
      <c r="P148" s="7" t="s">
        <v>209</v>
      </c>
      <c r="Q148" s="8" t="s">
        <v>179</v>
      </c>
      <c r="R148" s="9">
        <v>0</v>
      </c>
      <c r="S148" s="54">
        <f t="shared" si="15"/>
        <v>0</v>
      </c>
      <c r="T148" s="9">
        <v>0</v>
      </c>
      <c r="U148" s="54">
        <f t="shared" si="16"/>
        <v>0</v>
      </c>
      <c r="V148" s="11">
        <v>0</v>
      </c>
      <c r="W148" s="11" t="s">
        <v>285</v>
      </c>
      <c r="X148" s="9">
        <v>0</v>
      </c>
      <c r="Y148" s="9">
        <f t="shared" si="17"/>
        <v>0</v>
      </c>
      <c r="Z148" s="11">
        <v>0</v>
      </c>
      <c r="AA148" s="11" t="s">
        <v>310</v>
      </c>
      <c r="AB148" s="66" t="s">
        <v>204</v>
      </c>
      <c r="AC148" s="11" t="str">
        <f t="shared" si="11"/>
        <v>ENERGISA</v>
      </c>
      <c r="AD148" s="11" t="s">
        <v>6</v>
      </c>
      <c r="AE148" s="10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7" t="s">
        <v>184</v>
      </c>
      <c r="AQ148" s="100">
        <v>0</v>
      </c>
    </row>
    <row r="149" spans="1:43" hidden="1">
      <c r="A149" s="103">
        <v>45931</v>
      </c>
      <c r="B149" s="47" t="s">
        <v>198</v>
      </c>
      <c r="C149" s="2" t="s">
        <v>215</v>
      </c>
      <c r="D149" s="2" t="s">
        <v>216</v>
      </c>
      <c r="E149" s="4" t="s">
        <v>277</v>
      </c>
      <c r="F149" s="4" t="s">
        <v>173</v>
      </c>
      <c r="G149" s="5">
        <v>45931</v>
      </c>
      <c r="H149" s="31">
        <v>4301289.7</v>
      </c>
      <c r="I149" s="31">
        <v>4301289.7</v>
      </c>
      <c r="J149" s="52">
        <f t="shared" si="18"/>
        <v>4301.2897000000003</v>
      </c>
      <c r="K149" s="12">
        <v>45954</v>
      </c>
      <c r="L149" s="7" t="s">
        <v>175</v>
      </c>
      <c r="M149" s="34" t="s">
        <v>18</v>
      </c>
      <c r="N149" s="7" t="s">
        <v>202</v>
      </c>
      <c r="O149" s="7" t="s">
        <v>284</v>
      </c>
      <c r="P149" s="7" t="s">
        <v>217</v>
      </c>
      <c r="Q149" s="8" t="s">
        <v>179</v>
      </c>
      <c r="R149" s="9">
        <v>16543430</v>
      </c>
      <c r="S149" s="54">
        <f t="shared" si="15"/>
        <v>16543.43</v>
      </c>
      <c r="T149" s="9">
        <v>14889080</v>
      </c>
      <c r="U149" s="54">
        <f t="shared" si="16"/>
        <v>14889.08</v>
      </c>
      <c r="V149" s="10">
        <v>0.89999957687130183</v>
      </c>
      <c r="W149" s="11" t="s">
        <v>285</v>
      </c>
      <c r="X149" s="9">
        <v>0</v>
      </c>
      <c r="Y149" s="9">
        <f t="shared" si="17"/>
        <v>0</v>
      </c>
      <c r="Z149" s="11">
        <v>0</v>
      </c>
      <c r="AA149" s="11" t="s">
        <v>310</v>
      </c>
      <c r="AB149" s="66" t="s">
        <v>204</v>
      </c>
      <c r="AC149" s="11" t="str">
        <f t="shared" si="11"/>
        <v>ENERGISA</v>
      </c>
      <c r="AD149" s="11" t="s">
        <v>6</v>
      </c>
      <c r="AE149" s="10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f>AK149*1000</f>
        <v>15039480</v>
      </c>
      <c r="AK149" s="9">
        <v>15039.48</v>
      </c>
      <c r="AL149" s="9">
        <v>0.90900000000000003</v>
      </c>
      <c r="AM149" s="9">
        <f>AN149*1000</f>
        <v>1503950</v>
      </c>
      <c r="AN149" s="9">
        <v>1503.95</v>
      </c>
      <c r="AO149" s="9">
        <v>9.0999999999999998E-2</v>
      </c>
      <c r="AP149" s="97" t="s">
        <v>184</v>
      </c>
      <c r="AQ149" s="100">
        <v>1</v>
      </c>
    </row>
    <row r="150" spans="1:43" hidden="1">
      <c r="A150" s="103">
        <v>45931</v>
      </c>
      <c r="B150" s="47" t="s">
        <v>198</v>
      </c>
      <c r="C150" s="2" t="s">
        <v>215</v>
      </c>
      <c r="D150" s="2" t="s">
        <v>311</v>
      </c>
      <c r="E150" s="4" t="s">
        <v>312</v>
      </c>
      <c r="F150" s="4" t="s">
        <v>173</v>
      </c>
      <c r="G150" s="5">
        <v>45931</v>
      </c>
      <c r="H150" s="31">
        <v>165434.29999999999</v>
      </c>
      <c r="I150" s="31">
        <v>165434.29999999999</v>
      </c>
      <c r="J150" s="52">
        <f t="shared" si="18"/>
        <v>165.43429999999998</v>
      </c>
      <c r="K150" s="12">
        <v>45954</v>
      </c>
      <c r="L150" s="7" t="s">
        <v>175</v>
      </c>
      <c r="M150" s="34" t="s">
        <v>18</v>
      </c>
      <c r="N150" s="7" t="s">
        <v>202</v>
      </c>
      <c r="O150" s="7" t="s">
        <v>284</v>
      </c>
      <c r="P150" s="7" t="s">
        <v>217</v>
      </c>
      <c r="Q150" s="8" t="s">
        <v>179</v>
      </c>
      <c r="R150" s="9">
        <v>0</v>
      </c>
      <c r="S150" s="54">
        <f t="shared" si="15"/>
        <v>0</v>
      </c>
      <c r="T150" s="9">
        <v>0</v>
      </c>
      <c r="U150" s="54">
        <f t="shared" si="16"/>
        <v>0</v>
      </c>
      <c r="V150" s="10">
        <v>0</v>
      </c>
      <c r="W150" s="11" t="s">
        <v>285</v>
      </c>
      <c r="X150" s="9">
        <v>0</v>
      </c>
      <c r="Y150" s="9">
        <f t="shared" si="17"/>
        <v>0</v>
      </c>
      <c r="Z150" s="11">
        <v>0</v>
      </c>
      <c r="AA150" s="11" t="s">
        <v>310</v>
      </c>
      <c r="AB150" s="66" t="s">
        <v>204</v>
      </c>
      <c r="AC150" s="11" t="str">
        <f t="shared" si="11"/>
        <v>ENERGISA</v>
      </c>
      <c r="AD150" s="11" t="s">
        <v>6</v>
      </c>
      <c r="AE150" s="10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7" t="s">
        <v>184</v>
      </c>
      <c r="AQ150" s="100">
        <v>0</v>
      </c>
    </row>
    <row r="151" spans="1:43" hidden="1">
      <c r="A151" s="103">
        <v>46054</v>
      </c>
      <c r="B151" s="47" t="s">
        <v>198</v>
      </c>
      <c r="C151" s="2" t="s">
        <v>215</v>
      </c>
      <c r="D151" s="2" t="s">
        <v>216</v>
      </c>
      <c r="E151" s="4" t="s">
        <v>277</v>
      </c>
      <c r="F151" s="4" t="s">
        <v>173</v>
      </c>
      <c r="G151" s="5">
        <v>46054</v>
      </c>
      <c r="H151" s="92">
        <v>2977816</v>
      </c>
      <c r="I151" s="92">
        <v>2977816</v>
      </c>
      <c r="J151" s="52">
        <f t="shared" si="18"/>
        <v>2977.8159999999998</v>
      </c>
      <c r="K151" s="12">
        <v>46066</v>
      </c>
      <c r="L151" s="7" t="s">
        <v>175</v>
      </c>
      <c r="M151" s="34" t="s">
        <v>18</v>
      </c>
      <c r="N151" s="7" t="s">
        <v>202</v>
      </c>
      <c r="O151" s="84" t="s">
        <v>287</v>
      </c>
      <c r="P151" s="7" t="s">
        <v>217</v>
      </c>
      <c r="Q151" s="8" t="s">
        <v>179</v>
      </c>
      <c r="R151" s="9">
        <v>0</v>
      </c>
      <c r="S151" s="54">
        <f t="shared" si="15"/>
        <v>0</v>
      </c>
      <c r="T151" s="9">
        <v>0</v>
      </c>
      <c r="U151" s="54">
        <f t="shared" si="16"/>
        <v>0</v>
      </c>
      <c r="V151" s="10">
        <v>0</v>
      </c>
      <c r="W151" s="11" t="s">
        <v>285</v>
      </c>
      <c r="X151" s="9">
        <v>0</v>
      </c>
      <c r="Y151" s="9">
        <f t="shared" si="17"/>
        <v>0</v>
      </c>
      <c r="Z151" s="11">
        <v>0</v>
      </c>
      <c r="AA151" s="11" t="s">
        <v>310</v>
      </c>
      <c r="AB151" s="66" t="s">
        <v>204</v>
      </c>
      <c r="AC151" s="11" t="str">
        <f t="shared" si="11"/>
        <v>ENERGISA</v>
      </c>
      <c r="AD151" s="11" t="s">
        <v>6</v>
      </c>
      <c r="AE151" s="10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7" t="s">
        <v>184</v>
      </c>
      <c r="AQ151" s="100">
        <v>0</v>
      </c>
    </row>
    <row r="152" spans="1:43" hidden="1">
      <c r="A152" s="103">
        <v>46054</v>
      </c>
      <c r="B152" s="47" t="s">
        <v>198</v>
      </c>
      <c r="C152" s="2" t="s">
        <v>215</v>
      </c>
      <c r="D152" s="2" t="s">
        <v>216</v>
      </c>
      <c r="E152" s="4" t="s">
        <v>277</v>
      </c>
      <c r="F152" s="4" t="s">
        <v>173</v>
      </c>
      <c r="G152" s="5">
        <v>46054</v>
      </c>
      <c r="H152" s="93">
        <v>1488908</v>
      </c>
      <c r="I152" s="93">
        <v>1488908</v>
      </c>
      <c r="J152" s="52">
        <f t="shared" si="18"/>
        <v>1488.9079999999999</v>
      </c>
      <c r="K152" s="12">
        <v>46066</v>
      </c>
      <c r="L152" s="7" t="s">
        <v>175</v>
      </c>
      <c r="M152" s="34" t="s">
        <v>18</v>
      </c>
      <c r="N152" s="7" t="s">
        <v>202</v>
      </c>
      <c r="O152" s="84" t="s">
        <v>296</v>
      </c>
      <c r="P152" s="7" t="s">
        <v>217</v>
      </c>
      <c r="Q152" s="8" t="s">
        <v>179</v>
      </c>
      <c r="R152" s="9">
        <v>0</v>
      </c>
      <c r="S152" s="54">
        <f t="shared" si="15"/>
        <v>0</v>
      </c>
      <c r="T152" s="9">
        <v>0</v>
      </c>
      <c r="U152" s="54">
        <f t="shared" si="16"/>
        <v>0</v>
      </c>
      <c r="V152" s="10">
        <v>0</v>
      </c>
      <c r="W152" s="11" t="s">
        <v>285</v>
      </c>
      <c r="X152" s="9">
        <v>0</v>
      </c>
      <c r="Y152" s="9">
        <f t="shared" si="17"/>
        <v>0</v>
      </c>
      <c r="Z152" s="11">
        <v>0</v>
      </c>
      <c r="AA152" s="11" t="s">
        <v>310</v>
      </c>
      <c r="AB152" s="66" t="s">
        <v>204</v>
      </c>
      <c r="AC152" s="11" t="str">
        <f t="shared" si="11"/>
        <v>ENERGISA</v>
      </c>
      <c r="AD152" s="11" t="s">
        <v>6</v>
      </c>
      <c r="AE152" s="10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7" t="s">
        <v>184</v>
      </c>
      <c r="AQ152" s="100">
        <v>0</v>
      </c>
    </row>
    <row r="153" spans="1:43" hidden="1">
      <c r="A153" s="103">
        <v>46054</v>
      </c>
      <c r="B153" s="47" t="s">
        <v>198</v>
      </c>
      <c r="C153" s="2" t="s">
        <v>215</v>
      </c>
      <c r="D153" s="2" t="s">
        <v>216</v>
      </c>
      <c r="E153" s="4" t="s">
        <v>277</v>
      </c>
      <c r="F153" s="4" t="s">
        <v>173</v>
      </c>
      <c r="G153" s="5">
        <v>46054</v>
      </c>
      <c r="H153" s="93">
        <v>1488908</v>
      </c>
      <c r="I153" s="93">
        <v>1488908</v>
      </c>
      <c r="J153" s="52">
        <f t="shared" si="18"/>
        <v>1488.9079999999999</v>
      </c>
      <c r="K153" s="12">
        <v>46066</v>
      </c>
      <c r="L153" s="7" t="s">
        <v>175</v>
      </c>
      <c r="M153" s="34" t="s">
        <v>18</v>
      </c>
      <c r="N153" s="7" t="s">
        <v>202</v>
      </c>
      <c r="O153" s="84" t="s">
        <v>289</v>
      </c>
      <c r="P153" s="7" t="s">
        <v>217</v>
      </c>
      <c r="Q153" s="8" t="s">
        <v>179</v>
      </c>
      <c r="R153" s="9">
        <v>0</v>
      </c>
      <c r="S153" s="54">
        <f t="shared" si="15"/>
        <v>0</v>
      </c>
      <c r="T153" s="9">
        <v>0</v>
      </c>
      <c r="U153" s="54">
        <f t="shared" si="16"/>
        <v>0</v>
      </c>
      <c r="V153" s="10">
        <v>0</v>
      </c>
      <c r="W153" s="11" t="s">
        <v>285</v>
      </c>
      <c r="X153" s="9">
        <v>0</v>
      </c>
      <c r="Y153" s="9">
        <f t="shared" si="17"/>
        <v>0</v>
      </c>
      <c r="Z153" s="11">
        <v>0</v>
      </c>
      <c r="AA153" s="11" t="s">
        <v>310</v>
      </c>
      <c r="AB153" s="66" t="s">
        <v>204</v>
      </c>
      <c r="AC153" s="11" t="str">
        <f t="shared" ref="AC153:AC216" si="19">B153</f>
        <v>ENERGISA</v>
      </c>
      <c r="AD153" s="11" t="s">
        <v>6</v>
      </c>
      <c r="AE153" s="10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7" t="s">
        <v>184</v>
      </c>
      <c r="AQ153" s="100">
        <v>0</v>
      </c>
    </row>
    <row r="154" spans="1:43" hidden="1">
      <c r="A154" s="103">
        <v>46054</v>
      </c>
      <c r="B154" s="47" t="s">
        <v>198</v>
      </c>
      <c r="C154" s="2" t="s">
        <v>215</v>
      </c>
      <c r="D154" s="2" t="s">
        <v>216</v>
      </c>
      <c r="E154" s="4" t="s">
        <v>277</v>
      </c>
      <c r="F154" s="4" t="s">
        <v>173</v>
      </c>
      <c r="G154" s="5">
        <v>46054</v>
      </c>
      <c r="H154" s="93">
        <v>1488908</v>
      </c>
      <c r="I154" s="93">
        <v>1488908</v>
      </c>
      <c r="J154" s="52">
        <f t="shared" si="18"/>
        <v>1488.9079999999999</v>
      </c>
      <c r="K154" s="12">
        <v>46066</v>
      </c>
      <c r="L154" s="7" t="s">
        <v>175</v>
      </c>
      <c r="M154" s="34" t="s">
        <v>18</v>
      </c>
      <c r="N154" s="7" t="s">
        <v>202</v>
      </c>
      <c r="O154" s="84" t="s">
        <v>297</v>
      </c>
      <c r="P154" s="7" t="s">
        <v>217</v>
      </c>
      <c r="Q154" s="8" t="s">
        <v>179</v>
      </c>
      <c r="R154" s="9">
        <v>0</v>
      </c>
      <c r="S154" s="54">
        <f t="shared" si="15"/>
        <v>0</v>
      </c>
      <c r="T154" s="9">
        <v>0</v>
      </c>
      <c r="U154" s="54">
        <f t="shared" si="16"/>
        <v>0</v>
      </c>
      <c r="V154" s="10">
        <v>0</v>
      </c>
      <c r="W154" s="11" t="s">
        <v>285</v>
      </c>
      <c r="X154" s="9">
        <v>0</v>
      </c>
      <c r="Y154" s="9">
        <f t="shared" si="17"/>
        <v>0</v>
      </c>
      <c r="Z154" s="11">
        <v>0</v>
      </c>
      <c r="AA154" s="11" t="s">
        <v>310</v>
      </c>
      <c r="AB154" s="66" t="s">
        <v>204</v>
      </c>
      <c r="AC154" s="11" t="str">
        <f t="shared" si="19"/>
        <v>ENERGISA</v>
      </c>
      <c r="AD154" s="11" t="s">
        <v>6</v>
      </c>
      <c r="AE154" s="10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7" t="s">
        <v>184</v>
      </c>
      <c r="AQ154" s="100">
        <v>0</v>
      </c>
    </row>
    <row r="155" spans="1:43" hidden="1">
      <c r="A155" s="103">
        <v>45901</v>
      </c>
      <c r="B155" s="47" t="s">
        <v>198</v>
      </c>
      <c r="C155" s="2" t="s">
        <v>199</v>
      </c>
      <c r="D155" s="2" t="s">
        <v>200</v>
      </c>
      <c r="E155" s="4" t="s">
        <v>201</v>
      </c>
      <c r="F155" s="4" t="s">
        <v>173</v>
      </c>
      <c r="G155" s="5">
        <v>45870</v>
      </c>
      <c r="H155" s="31">
        <v>34729774.399999999</v>
      </c>
      <c r="I155" s="31">
        <v>34729774.399999999</v>
      </c>
      <c r="J155" s="52">
        <f t="shared" si="18"/>
        <v>34729.774400000002</v>
      </c>
      <c r="K155" s="12">
        <v>45905</v>
      </c>
      <c r="L155" s="7" t="s">
        <v>175</v>
      </c>
      <c r="M155" s="34" t="s">
        <v>16</v>
      </c>
      <c r="N155" s="7" t="s">
        <v>202</v>
      </c>
      <c r="O155" s="7" t="s">
        <v>284</v>
      </c>
      <c r="P155" s="7" t="s">
        <v>203</v>
      </c>
      <c r="Q155" s="8" t="s">
        <v>179</v>
      </c>
      <c r="R155" s="9">
        <v>133576060</v>
      </c>
      <c r="S155" s="54">
        <f t="shared" si="15"/>
        <v>133576.06</v>
      </c>
      <c r="T155" s="9">
        <v>120218450</v>
      </c>
      <c r="U155" s="54">
        <f t="shared" si="16"/>
        <v>120218.45</v>
      </c>
      <c r="V155" s="10">
        <f>T155/R155</f>
        <v>0.89999997005451426</v>
      </c>
      <c r="W155" s="11" t="s">
        <v>285</v>
      </c>
      <c r="X155" s="9">
        <v>0</v>
      </c>
      <c r="Y155" s="9">
        <f t="shared" si="17"/>
        <v>0</v>
      </c>
      <c r="Z155" s="11">
        <v>0</v>
      </c>
      <c r="AA155" s="11" t="s">
        <v>310</v>
      </c>
      <c r="AB155" s="66" t="s">
        <v>204</v>
      </c>
      <c r="AC155" s="11" t="str">
        <f t="shared" si="19"/>
        <v>ENERGISA</v>
      </c>
      <c r="AD155" s="11" t="s">
        <v>6</v>
      </c>
      <c r="AE155" s="10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f>AK155*1000</f>
        <v>120257030</v>
      </c>
      <c r="AK155" s="9">
        <v>120257.03</v>
      </c>
      <c r="AL155" s="9">
        <v>0.90029999999999999</v>
      </c>
      <c r="AM155" s="9">
        <f>AN155*1000</f>
        <v>13319030</v>
      </c>
      <c r="AN155" s="9">
        <v>13319.03</v>
      </c>
      <c r="AO155" s="9">
        <v>9.9699999999999997E-2</v>
      </c>
      <c r="AP155" s="97" t="s">
        <v>184</v>
      </c>
      <c r="AQ155" s="100">
        <v>1.02</v>
      </c>
    </row>
    <row r="156" spans="1:43" hidden="1">
      <c r="A156" s="103">
        <v>45901</v>
      </c>
      <c r="B156" s="47" t="s">
        <v>198</v>
      </c>
      <c r="C156" s="2" t="s">
        <v>199</v>
      </c>
      <c r="D156" s="2" t="s">
        <v>311</v>
      </c>
      <c r="E156" s="4" t="s">
        <v>312</v>
      </c>
      <c r="F156" s="4" t="s">
        <v>173</v>
      </c>
      <c r="G156" s="5">
        <v>45870</v>
      </c>
      <c r="H156" s="31">
        <v>1335760.6000000001</v>
      </c>
      <c r="I156" s="31">
        <v>1335760.6000000001</v>
      </c>
      <c r="J156" s="52">
        <f t="shared" si="18"/>
        <v>1335.7606000000001</v>
      </c>
      <c r="K156" s="12">
        <v>45905</v>
      </c>
      <c r="L156" s="7" t="s">
        <v>175</v>
      </c>
      <c r="M156" s="34" t="s">
        <v>16</v>
      </c>
      <c r="N156" s="7" t="s">
        <v>202</v>
      </c>
      <c r="O156" s="7" t="s">
        <v>284</v>
      </c>
      <c r="P156" s="7" t="s">
        <v>203</v>
      </c>
      <c r="Q156" s="8" t="s">
        <v>179</v>
      </c>
      <c r="R156" s="9">
        <v>0</v>
      </c>
      <c r="S156" s="54">
        <f t="shared" si="15"/>
        <v>0</v>
      </c>
      <c r="T156" s="9">
        <v>0</v>
      </c>
      <c r="U156" s="54">
        <f t="shared" si="16"/>
        <v>0</v>
      </c>
      <c r="V156" s="10">
        <v>0</v>
      </c>
      <c r="W156" s="11" t="s">
        <v>285</v>
      </c>
      <c r="X156" s="9">
        <v>0</v>
      </c>
      <c r="Y156" s="9">
        <f t="shared" si="17"/>
        <v>0</v>
      </c>
      <c r="Z156" s="11">
        <v>0</v>
      </c>
      <c r="AA156" s="11" t="s">
        <v>310</v>
      </c>
      <c r="AB156" s="66" t="s">
        <v>204</v>
      </c>
      <c r="AC156" s="11" t="str">
        <f t="shared" si="19"/>
        <v>ENERGISA</v>
      </c>
      <c r="AD156" s="11" t="s">
        <v>6</v>
      </c>
      <c r="AE156" s="10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7" t="s">
        <v>184</v>
      </c>
      <c r="AQ156" s="100">
        <v>0</v>
      </c>
    </row>
    <row r="157" spans="1:43" hidden="1">
      <c r="A157" s="103">
        <v>45962</v>
      </c>
      <c r="B157" s="47" t="s">
        <v>198</v>
      </c>
      <c r="C157" s="2" t="s">
        <v>199</v>
      </c>
      <c r="D157" s="2" t="s">
        <v>200</v>
      </c>
      <c r="E157" s="4" t="s">
        <v>201</v>
      </c>
      <c r="F157" s="4" t="s">
        <v>173</v>
      </c>
      <c r="G157" s="5">
        <v>45931</v>
      </c>
      <c r="H157" s="31">
        <v>18032767.5</v>
      </c>
      <c r="I157" s="31">
        <v>18032767.5</v>
      </c>
      <c r="J157" s="52">
        <f t="shared" si="18"/>
        <v>18032.767500000002</v>
      </c>
      <c r="K157" s="12">
        <v>45968</v>
      </c>
      <c r="L157" s="7" t="s">
        <v>175</v>
      </c>
      <c r="M157" s="34" t="s">
        <v>16</v>
      </c>
      <c r="N157" s="7" t="s">
        <v>202</v>
      </c>
      <c r="O157" s="84" t="s">
        <v>286</v>
      </c>
      <c r="P157" s="7" t="s">
        <v>203</v>
      </c>
      <c r="Q157" s="8" t="s">
        <v>179</v>
      </c>
      <c r="R157" s="9">
        <v>0</v>
      </c>
      <c r="S157" s="54">
        <f t="shared" si="15"/>
        <v>0</v>
      </c>
      <c r="T157" s="9">
        <v>0</v>
      </c>
      <c r="U157" s="54">
        <f t="shared" si="16"/>
        <v>0</v>
      </c>
      <c r="V157" s="11">
        <v>0</v>
      </c>
      <c r="W157" s="11" t="s">
        <v>285</v>
      </c>
      <c r="X157" s="9">
        <v>0</v>
      </c>
      <c r="Y157" s="9">
        <f t="shared" si="17"/>
        <v>0</v>
      </c>
      <c r="Z157" s="11">
        <v>0</v>
      </c>
      <c r="AA157" s="11" t="s">
        <v>310</v>
      </c>
      <c r="AB157" s="66" t="s">
        <v>204</v>
      </c>
      <c r="AC157" s="11" t="str">
        <f t="shared" si="19"/>
        <v>ENERGISA</v>
      </c>
      <c r="AD157" s="11" t="s">
        <v>6</v>
      </c>
      <c r="AE157" s="10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7" t="s">
        <v>184</v>
      </c>
      <c r="AQ157" s="100">
        <v>0</v>
      </c>
    </row>
    <row r="158" spans="1:43" hidden="1">
      <c r="A158" s="103">
        <v>45962</v>
      </c>
      <c r="B158" s="47" t="s">
        <v>198</v>
      </c>
      <c r="C158" s="2" t="s">
        <v>199</v>
      </c>
      <c r="D158" s="2" t="s">
        <v>200</v>
      </c>
      <c r="E158" s="4" t="s">
        <v>201</v>
      </c>
      <c r="F158" s="4" t="s">
        <v>173</v>
      </c>
      <c r="G158" s="5">
        <v>45931</v>
      </c>
      <c r="H158" s="31">
        <v>18032767.5</v>
      </c>
      <c r="I158" s="31">
        <v>18032767.5</v>
      </c>
      <c r="J158" s="52">
        <f t="shared" si="18"/>
        <v>18032.767500000002</v>
      </c>
      <c r="K158" s="12">
        <v>45968</v>
      </c>
      <c r="L158" s="7" t="s">
        <v>175</v>
      </c>
      <c r="M158" s="34" t="s">
        <v>16</v>
      </c>
      <c r="N158" s="7" t="s">
        <v>202</v>
      </c>
      <c r="O158" s="84" t="s">
        <v>296</v>
      </c>
      <c r="P158" s="7" t="s">
        <v>203</v>
      </c>
      <c r="Q158" s="8" t="s">
        <v>179</v>
      </c>
      <c r="R158" s="9">
        <v>0</v>
      </c>
      <c r="S158" s="54">
        <f t="shared" si="15"/>
        <v>0</v>
      </c>
      <c r="T158" s="9">
        <v>0</v>
      </c>
      <c r="U158" s="54">
        <f t="shared" si="16"/>
        <v>0</v>
      </c>
      <c r="V158" s="11">
        <v>0</v>
      </c>
      <c r="W158" s="11" t="s">
        <v>285</v>
      </c>
      <c r="X158" s="9">
        <v>0</v>
      </c>
      <c r="Y158" s="9">
        <f t="shared" si="17"/>
        <v>0</v>
      </c>
      <c r="Z158" s="11">
        <v>0</v>
      </c>
      <c r="AA158" s="11" t="s">
        <v>310</v>
      </c>
      <c r="AB158" s="66" t="s">
        <v>204</v>
      </c>
      <c r="AC158" s="11" t="str">
        <f t="shared" si="19"/>
        <v>ENERGISA</v>
      </c>
      <c r="AD158" s="11" t="s">
        <v>6</v>
      </c>
      <c r="AE158" s="10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7" t="s">
        <v>184</v>
      </c>
      <c r="AQ158" s="100">
        <v>0</v>
      </c>
    </row>
    <row r="159" spans="1:43" hidden="1">
      <c r="A159" s="103">
        <v>46054</v>
      </c>
      <c r="B159" s="47" t="s">
        <v>198</v>
      </c>
      <c r="C159" s="2" t="s">
        <v>199</v>
      </c>
      <c r="D159" s="2" t="s">
        <v>200</v>
      </c>
      <c r="E159" s="4" t="s">
        <v>201</v>
      </c>
      <c r="F159" s="4" t="s">
        <v>173</v>
      </c>
      <c r="G159" s="5">
        <v>46054</v>
      </c>
      <c r="H159" s="31">
        <v>12021845</v>
      </c>
      <c r="I159" s="31">
        <v>12021845</v>
      </c>
      <c r="J159" s="52">
        <f t="shared" si="18"/>
        <v>12021.844999999999</v>
      </c>
      <c r="K159" s="12">
        <v>46066</v>
      </c>
      <c r="L159" s="7" t="s">
        <v>175</v>
      </c>
      <c r="M159" s="34" t="s">
        <v>16</v>
      </c>
      <c r="N159" s="7" t="s">
        <v>202</v>
      </c>
      <c r="O159" s="84" t="s">
        <v>289</v>
      </c>
      <c r="P159" s="7" t="s">
        <v>203</v>
      </c>
      <c r="Q159" s="8" t="s">
        <v>179</v>
      </c>
      <c r="R159" s="9">
        <v>0</v>
      </c>
      <c r="S159" s="54">
        <f t="shared" si="15"/>
        <v>0</v>
      </c>
      <c r="T159" s="9">
        <v>0</v>
      </c>
      <c r="U159" s="54">
        <f t="shared" si="16"/>
        <v>0</v>
      </c>
      <c r="V159" s="11">
        <v>0</v>
      </c>
      <c r="W159" s="11" t="s">
        <v>285</v>
      </c>
      <c r="X159" s="9">
        <v>0</v>
      </c>
      <c r="Y159" s="9">
        <f t="shared" si="17"/>
        <v>0</v>
      </c>
      <c r="Z159" s="11">
        <v>0</v>
      </c>
      <c r="AA159" s="11" t="s">
        <v>310</v>
      </c>
      <c r="AB159" s="66" t="s">
        <v>204</v>
      </c>
      <c r="AC159" s="11" t="str">
        <f t="shared" si="19"/>
        <v>ENERGISA</v>
      </c>
      <c r="AD159" s="11" t="s">
        <v>6</v>
      </c>
      <c r="AE159" s="10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7" t="s">
        <v>184</v>
      </c>
      <c r="AQ159" s="100">
        <v>0</v>
      </c>
    </row>
    <row r="160" spans="1:43" hidden="1">
      <c r="A160" s="103">
        <v>46054</v>
      </c>
      <c r="B160" s="47" t="s">
        <v>198</v>
      </c>
      <c r="C160" s="2" t="s">
        <v>199</v>
      </c>
      <c r="D160" s="2" t="s">
        <v>200</v>
      </c>
      <c r="E160" s="4" t="s">
        <v>201</v>
      </c>
      <c r="F160" s="4" t="s">
        <v>173</v>
      </c>
      <c r="G160" s="5">
        <v>46054</v>
      </c>
      <c r="H160" s="31">
        <v>12021845</v>
      </c>
      <c r="I160" s="31">
        <v>12021845</v>
      </c>
      <c r="J160" s="52">
        <f t="shared" si="18"/>
        <v>12021.844999999999</v>
      </c>
      <c r="K160" s="12">
        <v>46066</v>
      </c>
      <c r="L160" s="7" t="s">
        <v>175</v>
      </c>
      <c r="M160" s="34" t="s">
        <v>16</v>
      </c>
      <c r="N160" s="7" t="s">
        <v>202</v>
      </c>
      <c r="O160" s="84" t="s">
        <v>297</v>
      </c>
      <c r="P160" s="7" t="s">
        <v>203</v>
      </c>
      <c r="Q160" s="8" t="s">
        <v>179</v>
      </c>
      <c r="R160" s="9">
        <v>0</v>
      </c>
      <c r="S160" s="54">
        <f t="shared" si="15"/>
        <v>0</v>
      </c>
      <c r="T160" s="9">
        <v>0</v>
      </c>
      <c r="U160" s="54">
        <f t="shared" si="16"/>
        <v>0</v>
      </c>
      <c r="V160" s="11">
        <v>0</v>
      </c>
      <c r="W160" s="11" t="s">
        <v>285</v>
      </c>
      <c r="X160" s="9">
        <v>0</v>
      </c>
      <c r="Y160" s="9">
        <f t="shared" si="17"/>
        <v>0</v>
      </c>
      <c r="Z160" s="11">
        <v>0</v>
      </c>
      <c r="AA160" s="11" t="s">
        <v>310</v>
      </c>
      <c r="AB160" s="66" t="s">
        <v>204</v>
      </c>
      <c r="AC160" s="11" t="str">
        <f t="shared" si="19"/>
        <v>ENERGISA</v>
      </c>
      <c r="AD160" s="11" t="s">
        <v>6</v>
      </c>
      <c r="AE160" s="10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7" t="s">
        <v>184</v>
      </c>
      <c r="AQ160" s="100">
        <v>0</v>
      </c>
    </row>
    <row r="161" spans="1:43" hidden="1">
      <c r="A161" s="103">
        <v>45931</v>
      </c>
      <c r="B161" s="47" t="s">
        <v>187</v>
      </c>
      <c r="C161" s="13" t="s">
        <v>211</v>
      </c>
      <c r="D161" s="2" t="s">
        <v>212</v>
      </c>
      <c r="E161" s="4" t="s">
        <v>213</v>
      </c>
      <c r="F161" s="4" t="s">
        <v>173</v>
      </c>
      <c r="G161" s="5">
        <v>45931</v>
      </c>
      <c r="H161" s="31">
        <v>326629882.19999999</v>
      </c>
      <c r="I161" s="31">
        <v>326629882.19999999</v>
      </c>
      <c r="J161" s="52">
        <f t="shared" si="18"/>
        <v>326629.88219999999</v>
      </c>
      <c r="K161" s="12">
        <v>45961</v>
      </c>
      <c r="L161" s="7" t="s">
        <v>175</v>
      </c>
      <c r="M161" s="34" t="s">
        <v>23</v>
      </c>
      <c r="N161" s="7" t="s">
        <v>229</v>
      </c>
      <c r="O161" s="7" t="s">
        <v>284</v>
      </c>
      <c r="P161" s="7" t="s">
        <v>214</v>
      </c>
      <c r="Q161" s="8" t="s">
        <v>179</v>
      </c>
      <c r="R161" s="9">
        <v>1256268780</v>
      </c>
      <c r="S161" s="54">
        <f t="shared" si="15"/>
        <v>1256268.78</v>
      </c>
      <c r="T161" s="9">
        <v>1130641900</v>
      </c>
      <c r="U161" s="54">
        <f t="shared" si="16"/>
        <v>1130641.8999999999</v>
      </c>
      <c r="V161" s="10">
        <v>0.89999999840798395</v>
      </c>
      <c r="W161" s="11" t="s">
        <v>285</v>
      </c>
      <c r="X161" s="9">
        <v>0</v>
      </c>
      <c r="Y161" s="9">
        <f t="shared" si="17"/>
        <v>0</v>
      </c>
      <c r="Z161" s="11">
        <v>0</v>
      </c>
      <c r="AA161" s="11" t="s">
        <v>310</v>
      </c>
      <c r="AB161" s="66" t="s">
        <v>230</v>
      </c>
      <c r="AC161" s="11" t="str">
        <f t="shared" si="19"/>
        <v>EQUATORIAL</v>
      </c>
      <c r="AD161" s="11" t="s">
        <v>6</v>
      </c>
      <c r="AE161" s="10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f>AK161*1000</f>
        <v>1142062410</v>
      </c>
      <c r="AK161" s="81">
        <v>1142062.4099999999</v>
      </c>
      <c r="AL161" s="9">
        <v>0.90910000000000002</v>
      </c>
      <c r="AM161" s="9">
        <f>AN161*1000</f>
        <v>114206370</v>
      </c>
      <c r="AN161" s="9">
        <v>114206.37</v>
      </c>
      <c r="AO161" s="9">
        <v>9.0899999999999995E-2</v>
      </c>
      <c r="AP161" s="97" t="s">
        <v>184</v>
      </c>
      <c r="AQ161" s="100">
        <v>0.2465</v>
      </c>
    </row>
    <row r="162" spans="1:43" hidden="1">
      <c r="A162" s="103">
        <v>45931</v>
      </c>
      <c r="B162" s="47" t="s">
        <v>187</v>
      </c>
      <c r="C162" s="13" t="s">
        <v>211</v>
      </c>
      <c r="D162" s="2" t="s">
        <v>311</v>
      </c>
      <c r="E162" s="4" t="s">
        <v>312</v>
      </c>
      <c r="F162" s="4" t="s">
        <v>173</v>
      </c>
      <c r="G162" s="5">
        <v>45931</v>
      </c>
      <c r="H162" s="31">
        <v>12562687.800000001</v>
      </c>
      <c r="I162" s="31">
        <v>12562687.800000001</v>
      </c>
      <c r="J162" s="52">
        <f t="shared" si="18"/>
        <v>12562.687800000002</v>
      </c>
      <c r="K162" s="12">
        <v>45961</v>
      </c>
      <c r="L162" s="7" t="s">
        <v>175</v>
      </c>
      <c r="M162" s="34" t="s">
        <v>23</v>
      </c>
      <c r="N162" s="7" t="s">
        <v>229</v>
      </c>
      <c r="O162" s="7" t="s">
        <v>284</v>
      </c>
      <c r="P162" s="7" t="s">
        <v>214</v>
      </c>
      <c r="Q162" s="8" t="s">
        <v>179</v>
      </c>
      <c r="R162" s="9">
        <v>0</v>
      </c>
      <c r="S162" s="54">
        <f t="shared" si="15"/>
        <v>0</v>
      </c>
      <c r="T162" s="9">
        <v>0</v>
      </c>
      <c r="U162" s="54">
        <f t="shared" si="16"/>
        <v>0</v>
      </c>
      <c r="V162" s="10">
        <v>0</v>
      </c>
      <c r="W162" s="11" t="s">
        <v>285</v>
      </c>
      <c r="X162" s="9">
        <v>0</v>
      </c>
      <c r="Y162" s="9">
        <f t="shared" si="17"/>
        <v>0</v>
      </c>
      <c r="Z162" s="11">
        <v>0</v>
      </c>
      <c r="AA162" s="11" t="s">
        <v>310</v>
      </c>
      <c r="AB162" s="66" t="s">
        <v>230</v>
      </c>
      <c r="AC162" s="11" t="str">
        <f t="shared" si="19"/>
        <v>EQUATORIAL</v>
      </c>
      <c r="AD162" s="11" t="s">
        <v>6</v>
      </c>
      <c r="AE162" s="10">
        <v>0</v>
      </c>
      <c r="AF162" s="9">
        <v>0</v>
      </c>
      <c r="AG162" s="9">
        <v>0</v>
      </c>
      <c r="AH162" s="9">
        <v>0</v>
      </c>
      <c r="AI162" s="9">
        <v>0</v>
      </c>
      <c r="AJ162" s="81">
        <v>0</v>
      </c>
      <c r="AK162" s="81">
        <v>0</v>
      </c>
      <c r="AL162" s="81">
        <v>0</v>
      </c>
      <c r="AM162" s="81">
        <v>0</v>
      </c>
      <c r="AN162" s="81">
        <v>0</v>
      </c>
      <c r="AO162" s="81">
        <v>0</v>
      </c>
      <c r="AP162" s="97" t="s">
        <v>184</v>
      </c>
      <c r="AQ162" s="100">
        <v>0</v>
      </c>
    </row>
    <row r="163" spans="1:43" hidden="1">
      <c r="A163" s="103">
        <v>45931</v>
      </c>
      <c r="B163" s="47" t="s">
        <v>187</v>
      </c>
      <c r="C163" s="13" t="s">
        <v>211</v>
      </c>
      <c r="D163" s="2" t="s">
        <v>212</v>
      </c>
      <c r="E163" s="4" t="s">
        <v>213</v>
      </c>
      <c r="F163" s="4" t="s">
        <v>173</v>
      </c>
      <c r="G163" s="5">
        <v>45931</v>
      </c>
      <c r="H163" s="31">
        <v>33629396.700000003</v>
      </c>
      <c r="I163" s="31">
        <v>33629396.700000003</v>
      </c>
      <c r="J163" s="52">
        <f t="shared" si="18"/>
        <v>33629.396700000005</v>
      </c>
      <c r="K163" s="12">
        <v>45961</v>
      </c>
      <c r="L163" s="7" t="s">
        <v>175</v>
      </c>
      <c r="M163" s="34" t="s">
        <v>22</v>
      </c>
      <c r="N163" s="7" t="s">
        <v>191</v>
      </c>
      <c r="O163" s="7" t="s">
        <v>284</v>
      </c>
      <c r="P163" s="7" t="s">
        <v>214</v>
      </c>
      <c r="Q163" s="8" t="s">
        <v>179</v>
      </c>
      <c r="R163" s="9">
        <v>129343830</v>
      </c>
      <c r="S163" s="54">
        <f t="shared" si="15"/>
        <v>129343.83</v>
      </c>
      <c r="T163" s="9">
        <v>116409450</v>
      </c>
      <c r="U163" s="54">
        <f t="shared" si="16"/>
        <v>116409.45</v>
      </c>
      <c r="V163" s="10">
        <v>0.90000002319399386</v>
      </c>
      <c r="W163" s="11" t="s">
        <v>285</v>
      </c>
      <c r="X163" s="9">
        <v>0</v>
      </c>
      <c r="Y163" s="9">
        <f t="shared" si="17"/>
        <v>0</v>
      </c>
      <c r="Z163" s="11">
        <v>0</v>
      </c>
      <c r="AA163" s="11" t="s">
        <v>310</v>
      </c>
      <c r="AB163" s="66" t="s">
        <v>193</v>
      </c>
      <c r="AC163" s="11" t="str">
        <f t="shared" si="19"/>
        <v>EQUATORIAL</v>
      </c>
      <c r="AD163" s="11" t="s">
        <v>6</v>
      </c>
      <c r="AE163" s="10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f>AK163*1000</f>
        <v>117585290</v>
      </c>
      <c r="AK163" s="81">
        <v>117585.29</v>
      </c>
      <c r="AL163" s="9">
        <v>0.90900000000000003</v>
      </c>
      <c r="AM163" s="9">
        <f>AN163*1000</f>
        <v>11758540</v>
      </c>
      <c r="AN163" s="9">
        <v>11758.54</v>
      </c>
      <c r="AO163" s="9">
        <v>9.0999999999999998E-2</v>
      </c>
      <c r="AP163" s="97" t="s">
        <v>184</v>
      </c>
      <c r="AQ163" s="100">
        <v>0.621</v>
      </c>
    </row>
    <row r="164" spans="1:43" hidden="1">
      <c r="A164" s="103">
        <v>45931</v>
      </c>
      <c r="B164" s="47" t="s">
        <v>187</v>
      </c>
      <c r="C164" s="13" t="s">
        <v>211</v>
      </c>
      <c r="D164" s="2" t="s">
        <v>311</v>
      </c>
      <c r="E164" s="4" t="s">
        <v>312</v>
      </c>
      <c r="F164" s="4" t="s">
        <v>173</v>
      </c>
      <c r="G164" s="5">
        <v>45931</v>
      </c>
      <c r="H164" s="31">
        <v>1293438.3</v>
      </c>
      <c r="I164" s="31">
        <v>1293438.3</v>
      </c>
      <c r="J164" s="52">
        <f t="shared" si="18"/>
        <v>1293.4383</v>
      </c>
      <c r="K164" s="12">
        <v>45961</v>
      </c>
      <c r="L164" s="7" t="s">
        <v>175</v>
      </c>
      <c r="M164" s="34" t="s">
        <v>22</v>
      </c>
      <c r="N164" s="7" t="s">
        <v>191</v>
      </c>
      <c r="O164" s="7" t="s">
        <v>284</v>
      </c>
      <c r="P164" s="7" t="s">
        <v>214</v>
      </c>
      <c r="Q164" s="8" t="s">
        <v>179</v>
      </c>
      <c r="R164" s="9">
        <v>0</v>
      </c>
      <c r="S164" s="54">
        <f t="shared" si="15"/>
        <v>0</v>
      </c>
      <c r="T164" s="9">
        <v>0</v>
      </c>
      <c r="U164" s="54">
        <f t="shared" si="16"/>
        <v>0</v>
      </c>
      <c r="V164" s="10">
        <v>0</v>
      </c>
      <c r="W164" s="11" t="s">
        <v>285</v>
      </c>
      <c r="X164" s="9">
        <v>0</v>
      </c>
      <c r="Y164" s="9">
        <f t="shared" si="17"/>
        <v>0</v>
      </c>
      <c r="Z164" s="11">
        <v>0</v>
      </c>
      <c r="AA164" s="11" t="s">
        <v>310</v>
      </c>
      <c r="AB164" s="66" t="s">
        <v>193</v>
      </c>
      <c r="AC164" s="11" t="str">
        <f t="shared" si="19"/>
        <v>EQUATORIAL</v>
      </c>
      <c r="AD164" s="11" t="s">
        <v>6</v>
      </c>
      <c r="AE164" s="10">
        <v>0</v>
      </c>
      <c r="AF164" s="9">
        <v>0</v>
      </c>
      <c r="AG164" s="9">
        <v>0</v>
      </c>
      <c r="AH164" s="9">
        <v>0</v>
      </c>
      <c r="AI164" s="9">
        <v>0</v>
      </c>
      <c r="AJ164" s="81">
        <v>0</v>
      </c>
      <c r="AK164" s="81">
        <v>0</v>
      </c>
      <c r="AL164" s="81">
        <v>0</v>
      </c>
      <c r="AM164" s="81">
        <v>0</v>
      </c>
      <c r="AN164" s="81">
        <v>0</v>
      </c>
      <c r="AO164" s="81">
        <v>0</v>
      </c>
      <c r="AP164" s="97" t="s">
        <v>184</v>
      </c>
      <c r="AQ164" s="100">
        <v>0</v>
      </c>
    </row>
    <row r="165" spans="1:43" hidden="1">
      <c r="A165" s="103">
        <v>42887</v>
      </c>
      <c r="B165" s="47" t="s">
        <v>226</v>
      </c>
      <c r="C165" s="2" t="s">
        <v>313</v>
      </c>
      <c r="D165" s="2" t="s">
        <v>228</v>
      </c>
      <c r="E165" s="3" t="s">
        <v>186</v>
      </c>
      <c r="F165" s="4" t="s">
        <v>173</v>
      </c>
      <c r="G165" s="5">
        <v>42887</v>
      </c>
      <c r="H165" s="31">
        <v>528477444</v>
      </c>
      <c r="I165" s="31">
        <v>528477444</v>
      </c>
      <c r="J165" s="52">
        <f t="shared" si="18"/>
        <v>528477.44400000002</v>
      </c>
      <c r="K165" s="6" t="s">
        <v>174</v>
      </c>
      <c r="L165" s="7" t="s">
        <v>175</v>
      </c>
      <c r="M165" s="34" t="s">
        <v>90</v>
      </c>
      <c r="N165" s="7" t="s">
        <v>314</v>
      </c>
      <c r="O165" s="7" t="s">
        <v>284</v>
      </c>
      <c r="P165" s="7" t="s">
        <v>315</v>
      </c>
      <c r="Q165" s="8" t="s">
        <v>179</v>
      </c>
      <c r="R165" s="9">
        <v>903380240</v>
      </c>
      <c r="S165" s="54">
        <f t="shared" si="15"/>
        <v>903380.24</v>
      </c>
      <c r="T165" s="9">
        <v>587197160</v>
      </c>
      <c r="U165" s="54">
        <f t="shared" si="16"/>
        <v>587197.16</v>
      </c>
      <c r="V165" s="10">
        <v>0.65000000442781436</v>
      </c>
      <c r="W165" s="11" t="s">
        <v>180</v>
      </c>
      <c r="X165" s="9">
        <v>-92242241.879999995</v>
      </c>
      <c r="Y165" s="9">
        <f t="shared" si="17"/>
        <v>-92242.241880000001</v>
      </c>
      <c r="Z165" s="10">
        <f>Y165/U165</f>
        <v>-0.15708904634348025</v>
      </c>
      <c r="AA165" s="11" t="s">
        <v>282</v>
      </c>
      <c r="AB165" s="65" t="s">
        <v>316</v>
      </c>
      <c r="AC165" s="57" t="str">
        <f t="shared" si="19"/>
        <v xml:space="preserve">NEOENERGIA </v>
      </c>
      <c r="AD165" s="11" t="s">
        <v>183</v>
      </c>
      <c r="AE165" s="10">
        <f>Z165</f>
        <v>-0.15708904634348025</v>
      </c>
      <c r="AF165" s="9">
        <f>X165</f>
        <v>-92242241.879999995</v>
      </c>
      <c r="AG165" s="9">
        <f>AF165/1000</f>
        <v>-92242.241880000001</v>
      </c>
      <c r="AH165" s="9">
        <v>0</v>
      </c>
      <c r="AI165" s="9">
        <v>0</v>
      </c>
      <c r="AJ165" s="9">
        <v>0</v>
      </c>
      <c r="AK165" s="81">
        <v>0</v>
      </c>
      <c r="AL165" s="81">
        <v>0</v>
      </c>
      <c r="AM165" s="81">
        <v>0</v>
      </c>
      <c r="AN165" s="81">
        <v>0</v>
      </c>
      <c r="AO165" s="81">
        <v>0</v>
      </c>
      <c r="AP165" s="97" t="s">
        <v>184</v>
      </c>
      <c r="AQ165" s="100">
        <v>0</v>
      </c>
    </row>
    <row r="166" spans="1:43" hidden="1">
      <c r="A166" s="103">
        <v>42979</v>
      </c>
      <c r="B166" s="47" t="s">
        <v>198</v>
      </c>
      <c r="C166" s="2" t="s">
        <v>215</v>
      </c>
      <c r="D166" s="2" t="s">
        <v>228</v>
      </c>
      <c r="E166" s="3" t="s">
        <v>186</v>
      </c>
      <c r="F166" s="4" t="s">
        <v>173</v>
      </c>
      <c r="G166" s="5">
        <v>42979</v>
      </c>
      <c r="H166" s="31">
        <v>33001392.060000002</v>
      </c>
      <c r="I166" s="31">
        <v>33001392.060000002</v>
      </c>
      <c r="J166" s="52">
        <f t="shared" si="18"/>
        <v>33001.392060000006</v>
      </c>
      <c r="K166" s="6" t="s">
        <v>174</v>
      </c>
      <c r="L166" s="7" t="s">
        <v>175</v>
      </c>
      <c r="M166" s="34" t="s">
        <v>91</v>
      </c>
      <c r="N166" s="7" t="s">
        <v>229</v>
      </c>
      <c r="O166" s="7" t="s">
        <v>284</v>
      </c>
      <c r="P166" s="7" t="s">
        <v>217</v>
      </c>
      <c r="Q166" s="8" t="s">
        <v>179</v>
      </c>
      <c r="R166" s="9">
        <v>122134650</v>
      </c>
      <c r="S166" s="54">
        <f t="shared" si="15"/>
        <v>122134.65</v>
      </c>
      <c r="T166" s="9">
        <v>79387520</v>
      </c>
      <c r="U166" s="54">
        <f t="shared" si="16"/>
        <v>79387.520000000004</v>
      </c>
      <c r="V166" s="10">
        <v>0.64999997953078836</v>
      </c>
      <c r="W166" s="11" t="s">
        <v>180</v>
      </c>
      <c r="X166" s="9">
        <v>0</v>
      </c>
      <c r="Y166" s="9">
        <f t="shared" si="17"/>
        <v>0</v>
      </c>
      <c r="Z166" s="11">
        <v>0</v>
      </c>
      <c r="AA166" s="11" t="s">
        <v>282</v>
      </c>
      <c r="AB166" s="66" t="s">
        <v>230</v>
      </c>
      <c r="AC166" s="11" t="str">
        <f t="shared" si="19"/>
        <v>ENERGISA</v>
      </c>
      <c r="AD166" s="11" t="s">
        <v>183</v>
      </c>
      <c r="AE166" s="10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7" t="s">
        <v>184</v>
      </c>
      <c r="AQ166" s="100">
        <v>0</v>
      </c>
    </row>
    <row r="167" spans="1:43" hidden="1">
      <c r="A167" s="103">
        <v>43101</v>
      </c>
      <c r="B167" s="47" t="s">
        <v>198</v>
      </c>
      <c r="C167" s="2" t="s">
        <v>205</v>
      </c>
      <c r="D167" s="2" t="s">
        <v>228</v>
      </c>
      <c r="E167" s="3" t="s">
        <v>186</v>
      </c>
      <c r="F167" s="4" t="s">
        <v>173</v>
      </c>
      <c r="G167" s="5">
        <v>43070</v>
      </c>
      <c r="H167" s="31">
        <v>323191.14666000003</v>
      </c>
      <c r="I167" s="31">
        <v>323191.14666000003</v>
      </c>
      <c r="J167" s="52">
        <f t="shared" si="18"/>
        <v>323.19114666000002</v>
      </c>
      <c r="K167" s="6" t="s">
        <v>174</v>
      </c>
      <c r="L167" s="7" t="s">
        <v>175</v>
      </c>
      <c r="M167" s="34" t="s">
        <v>92</v>
      </c>
      <c r="N167" s="7" t="s">
        <v>229</v>
      </c>
      <c r="O167" s="7" t="s">
        <v>284</v>
      </c>
      <c r="P167" s="7" t="s">
        <v>209</v>
      </c>
      <c r="Q167" s="8" t="s">
        <v>179</v>
      </c>
      <c r="R167" s="9">
        <v>128396140</v>
      </c>
      <c r="S167" s="54">
        <f t="shared" si="15"/>
        <v>128396.14</v>
      </c>
      <c r="T167" s="9">
        <v>106992500</v>
      </c>
      <c r="U167" s="54">
        <f t="shared" si="16"/>
        <v>106992.5</v>
      </c>
      <c r="V167" s="10">
        <v>0.83329997303657255</v>
      </c>
      <c r="W167" s="11" t="s">
        <v>180</v>
      </c>
      <c r="X167" s="9">
        <v>-13011036.300000001</v>
      </c>
      <c r="Y167" s="9">
        <f t="shared" si="17"/>
        <v>-13011.036300000002</v>
      </c>
      <c r="Z167" s="10">
        <f>X167/T167</f>
        <v>-0.12160699394817394</v>
      </c>
      <c r="AA167" s="11" t="s">
        <v>282</v>
      </c>
      <c r="AB167" s="66" t="s">
        <v>230</v>
      </c>
      <c r="AC167" s="11" t="str">
        <f t="shared" si="19"/>
        <v>ENERGISA</v>
      </c>
      <c r="AD167" s="11" t="s">
        <v>183</v>
      </c>
      <c r="AE167" s="10">
        <f>Z167</f>
        <v>-0.12160699394817394</v>
      </c>
      <c r="AF167" s="9">
        <f>X167</f>
        <v>-13011036.300000001</v>
      </c>
      <c r="AG167" s="9">
        <f>AF167/1000</f>
        <v>-13011.036300000002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7" t="s">
        <v>184</v>
      </c>
      <c r="AQ167" s="100">
        <v>0</v>
      </c>
    </row>
    <row r="168" spans="1:43" hidden="1">
      <c r="A168" s="103">
        <v>43101</v>
      </c>
      <c r="B168" s="47" t="s">
        <v>198</v>
      </c>
      <c r="C168" s="2" t="s">
        <v>205</v>
      </c>
      <c r="D168" s="2" t="s">
        <v>206</v>
      </c>
      <c r="E168" s="3" t="s">
        <v>207</v>
      </c>
      <c r="F168" s="4" t="s">
        <v>173</v>
      </c>
      <c r="G168" s="5">
        <v>43070</v>
      </c>
      <c r="H168" s="31">
        <v>6795493.8899999997</v>
      </c>
      <c r="I168" s="31">
        <v>6795493.8899999997</v>
      </c>
      <c r="J168" s="52">
        <f t="shared" si="18"/>
        <v>6795.4938899999997</v>
      </c>
      <c r="K168" s="6" t="s">
        <v>174</v>
      </c>
      <c r="L168" s="7" t="s">
        <v>175</v>
      </c>
      <c r="M168" s="34" t="s">
        <v>92</v>
      </c>
      <c r="N168" s="7" t="s">
        <v>229</v>
      </c>
      <c r="O168" s="7" t="s">
        <v>284</v>
      </c>
      <c r="P168" s="7" t="s">
        <v>209</v>
      </c>
      <c r="Q168" s="8" t="s">
        <v>179</v>
      </c>
      <c r="R168" s="9">
        <v>0</v>
      </c>
      <c r="S168" s="54">
        <f t="shared" si="15"/>
        <v>0</v>
      </c>
      <c r="T168" s="9">
        <v>0</v>
      </c>
      <c r="U168" s="54">
        <f t="shared" si="16"/>
        <v>0</v>
      </c>
      <c r="V168" s="11">
        <v>0</v>
      </c>
      <c r="W168" s="11" t="s">
        <v>180</v>
      </c>
      <c r="X168" s="9">
        <v>0</v>
      </c>
      <c r="Y168" s="9">
        <f t="shared" si="17"/>
        <v>0</v>
      </c>
      <c r="Z168" s="11">
        <v>0</v>
      </c>
      <c r="AA168" s="11" t="s">
        <v>282</v>
      </c>
      <c r="AB168" s="66" t="s">
        <v>230</v>
      </c>
      <c r="AC168" s="11" t="str">
        <f t="shared" si="19"/>
        <v>ENERGISA</v>
      </c>
      <c r="AD168" s="11" t="s">
        <v>183</v>
      </c>
      <c r="AE168" s="10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7" t="s">
        <v>184</v>
      </c>
      <c r="AQ168" s="100">
        <v>0</v>
      </c>
    </row>
    <row r="169" spans="1:43" hidden="1">
      <c r="A169" s="103">
        <v>44256</v>
      </c>
      <c r="B169" s="47" t="s">
        <v>198</v>
      </c>
      <c r="C169" s="2" t="s">
        <v>205</v>
      </c>
      <c r="D169" s="2" t="s">
        <v>206</v>
      </c>
      <c r="E169" s="4" t="s">
        <v>207</v>
      </c>
      <c r="F169" s="4" t="s">
        <v>173</v>
      </c>
      <c r="G169" s="5">
        <v>44256</v>
      </c>
      <c r="H169" s="31">
        <v>16048875</v>
      </c>
      <c r="I169" s="31">
        <v>16048875</v>
      </c>
      <c r="J169" s="52">
        <f t="shared" si="18"/>
        <v>16048.875</v>
      </c>
      <c r="K169" s="12">
        <v>44267</v>
      </c>
      <c r="L169" s="7" t="s">
        <v>175</v>
      </c>
      <c r="M169" s="34" t="s">
        <v>92</v>
      </c>
      <c r="N169" s="7" t="s">
        <v>229</v>
      </c>
      <c r="O169" s="84" t="s">
        <v>287</v>
      </c>
      <c r="P169" s="7" t="s">
        <v>209</v>
      </c>
      <c r="Q169" s="8" t="s">
        <v>179</v>
      </c>
      <c r="R169" s="9">
        <v>0</v>
      </c>
      <c r="S169" s="54">
        <f t="shared" si="15"/>
        <v>0</v>
      </c>
      <c r="T169" s="9">
        <v>0</v>
      </c>
      <c r="U169" s="54">
        <f t="shared" si="16"/>
        <v>0</v>
      </c>
      <c r="V169" s="11">
        <v>0</v>
      </c>
      <c r="W169" s="11" t="s">
        <v>180</v>
      </c>
      <c r="X169" s="9">
        <v>0</v>
      </c>
      <c r="Y169" s="9">
        <f t="shared" si="17"/>
        <v>0</v>
      </c>
      <c r="Z169" s="11">
        <v>0</v>
      </c>
      <c r="AA169" s="11" t="s">
        <v>282</v>
      </c>
      <c r="AB169" s="66" t="s">
        <v>230</v>
      </c>
      <c r="AC169" s="11" t="str">
        <f t="shared" si="19"/>
        <v>ENERGISA</v>
      </c>
      <c r="AD169" s="11" t="s">
        <v>183</v>
      </c>
      <c r="AE169" s="10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7" t="s">
        <v>184</v>
      </c>
      <c r="AQ169" s="100">
        <v>0</v>
      </c>
    </row>
    <row r="170" spans="1:43" hidden="1">
      <c r="A170" s="103">
        <v>44256</v>
      </c>
      <c r="B170" s="47" t="s">
        <v>198</v>
      </c>
      <c r="C170" s="2" t="s">
        <v>205</v>
      </c>
      <c r="D170" s="2" t="s">
        <v>206</v>
      </c>
      <c r="E170" s="4" t="s">
        <v>207</v>
      </c>
      <c r="F170" s="4" t="s">
        <v>173</v>
      </c>
      <c r="G170" s="5">
        <v>44256</v>
      </c>
      <c r="H170" s="31">
        <v>16048875</v>
      </c>
      <c r="I170" s="31">
        <v>16048875</v>
      </c>
      <c r="J170" s="52">
        <f t="shared" si="18"/>
        <v>16048.875</v>
      </c>
      <c r="K170" s="12">
        <v>44267</v>
      </c>
      <c r="L170" s="7" t="s">
        <v>175</v>
      </c>
      <c r="M170" s="34" t="s">
        <v>92</v>
      </c>
      <c r="N170" s="7" t="s">
        <v>229</v>
      </c>
      <c r="O170" s="84" t="s">
        <v>296</v>
      </c>
      <c r="P170" s="7" t="s">
        <v>209</v>
      </c>
      <c r="Q170" s="8" t="s">
        <v>179</v>
      </c>
      <c r="R170" s="9">
        <v>0</v>
      </c>
      <c r="S170" s="54">
        <f t="shared" si="15"/>
        <v>0</v>
      </c>
      <c r="T170" s="9">
        <v>0</v>
      </c>
      <c r="U170" s="54">
        <f t="shared" si="16"/>
        <v>0</v>
      </c>
      <c r="V170" s="11">
        <v>0</v>
      </c>
      <c r="W170" s="11" t="s">
        <v>180</v>
      </c>
      <c r="X170" s="9">
        <v>0</v>
      </c>
      <c r="Y170" s="9">
        <f t="shared" si="17"/>
        <v>0</v>
      </c>
      <c r="Z170" s="11">
        <v>0</v>
      </c>
      <c r="AA170" s="11" t="s">
        <v>282</v>
      </c>
      <c r="AB170" s="66" t="s">
        <v>230</v>
      </c>
      <c r="AC170" s="11" t="str">
        <f t="shared" si="19"/>
        <v>ENERGISA</v>
      </c>
      <c r="AD170" s="11" t="s">
        <v>183</v>
      </c>
      <c r="AE170" s="10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7" t="s">
        <v>184</v>
      </c>
      <c r="AQ170" s="100">
        <v>0</v>
      </c>
    </row>
    <row r="171" spans="1:43" hidden="1">
      <c r="A171" s="103">
        <v>44896</v>
      </c>
      <c r="B171" s="47" t="s">
        <v>198</v>
      </c>
      <c r="C171" s="2" t="s">
        <v>205</v>
      </c>
      <c r="D171" s="2" t="s">
        <v>206</v>
      </c>
      <c r="E171" s="4" t="s">
        <v>207</v>
      </c>
      <c r="F171" s="4" t="s">
        <v>173</v>
      </c>
      <c r="G171" s="5">
        <v>44866</v>
      </c>
      <c r="H171" s="31">
        <v>10669250</v>
      </c>
      <c r="I171" s="31">
        <v>10669250</v>
      </c>
      <c r="J171" s="52">
        <f t="shared" si="18"/>
        <v>10669.25</v>
      </c>
      <c r="K171" s="12">
        <v>44904</v>
      </c>
      <c r="L171" s="7" t="s">
        <v>175</v>
      </c>
      <c r="M171" s="34" t="s">
        <v>92</v>
      </c>
      <c r="N171" s="7" t="s">
        <v>229</v>
      </c>
      <c r="O171" s="7" t="s">
        <v>289</v>
      </c>
      <c r="P171" s="7" t="s">
        <v>209</v>
      </c>
      <c r="Q171" s="8" t="s">
        <v>179</v>
      </c>
      <c r="R171" s="9">
        <v>0</v>
      </c>
      <c r="S171" s="54">
        <f t="shared" si="15"/>
        <v>0</v>
      </c>
      <c r="T171" s="9">
        <v>0</v>
      </c>
      <c r="U171" s="54">
        <f t="shared" si="16"/>
        <v>0</v>
      </c>
      <c r="V171" s="11">
        <v>0</v>
      </c>
      <c r="W171" s="11" t="s">
        <v>180</v>
      </c>
      <c r="X171" s="9">
        <v>0</v>
      </c>
      <c r="Y171" s="9">
        <f t="shared" si="17"/>
        <v>0</v>
      </c>
      <c r="Z171" s="11">
        <v>0</v>
      </c>
      <c r="AA171" s="11" t="s">
        <v>282</v>
      </c>
      <c r="AB171" s="66" t="s">
        <v>230</v>
      </c>
      <c r="AC171" s="11" t="str">
        <f t="shared" si="19"/>
        <v>ENERGISA</v>
      </c>
      <c r="AD171" s="11" t="s">
        <v>183</v>
      </c>
      <c r="AE171" s="10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7" t="s">
        <v>184</v>
      </c>
      <c r="AQ171" s="100">
        <v>0</v>
      </c>
    </row>
    <row r="172" spans="1:43">
      <c r="A172" s="103">
        <v>43101</v>
      </c>
      <c r="B172" s="47" t="s">
        <v>198</v>
      </c>
      <c r="C172" s="2" t="s">
        <v>302</v>
      </c>
      <c r="D172" s="2" t="s">
        <v>228</v>
      </c>
      <c r="E172" s="3" t="s">
        <v>186</v>
      </c>
      <c r="F172" s="4" t="s">
        <v>173</v>
      </c>
      <c r="G172" s="5">
        <v>43101</v>
      </c>
      <c r="H172" s="31">
        <v>212774799.05000001</v>
      </c>
      <c r="I172" s="31">
        <v>212774799.05000001</v>
      </c>
      <c r="J172" s="52">
        <f t="shared" si="18"/>
        <v>212774.79905</v>
      </c>
      <c r="K172" s="6" t="s">
        <v>174</v>
      </c>
      <c r="L172" s="7" t="s">
        <v>175</v>
      </c>
      <c r="M172" s="34" t="s">
        <v>93</v>
      </c>
      <c r="N172" s="7" t="s">
        <v>237</v>
      </c>
      <c r="O172" s="7" t="s">
        <v>284</v>
      </c>
      <c r="P172" s="7" t="s">
        <v>303</v>
      </c>
      <c r="Q172" s="8" t="s">
        <v>179</v>
      </c>
      <c r="R172" s="9">
        <v>350102500</v>
      </c>
      <c r="S172" s="54">
        <f t="shared" si="15"/>
        <v>350102.5</v>
      </c>
      <c r="T172" s="9">
        <v>227566630</v>
      </c>
      <c r="U172" s="54">
        <f t="shared" si="16"/>
        <v>227566.63</v>
      </c>
      <c r="V172" s="10">
        <v>0.65000001428153187</v>
      </c>
      <c r="W172" s="11" t="s">
        <v>180</v>
      </c>
      <c r="X172" s="9">
        <v>0</v>
      </c>
      <c r="Y172" s="9">
        <f t="shared" si="17"/>
        <v>0</v>
      </c>
      <c r="Z172" s="11">
        <v>0</v>
      </c>
      <c r="AA172" s="11" t="s">
        <v>282</v>
      </c>
      <c r="AB172" s="66" t="s">
        <v>239</v>
      </c>
      <c r="AC172" s="11" t="str">
        <f t="shared" si="19"/>
        <v>ENERGISA</v>
      </c>
      <c r="AD172" s="11" t="s">
        <v>183</v>
      </c>
      <c r="AE172" s="10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7" t="s">
        <v>184</v>
      </c>
      <c r="AQ172" s="100">
        <v>0</v>
      </c>
    </row>
    <row r="173" spans="1:43" hidden="1">
      <c r="A173" s="103">
        <v>43282</v>
      </c>
      <c r="B173" s="47" t="s">
        <v>252</v>
      </c>
      <c r="C173" s="2" t="s">
        <v>252</v>
      </c>
      <c r="D173" s="2" t="s">
        <v>228</v>
      </c>
      <c r="E173" s="3" t="s">
        <v>186</v>
      </c>
      <c r="F173" s="4" t="s">
        <v>173</v>
      </c>
      <c r="G173" s="5">
        <v>43282</v>
      </c>
      <c r="H173" s="31">
        <v>778351.2</v>
      </c>
      <c r="I173" s="31">
        <v>778351.2</v>
      </c>
      <c r="J173" s="52">
        <f t="shared" si="18"/>
        <v>778.35119999999995</v>
      </c>
      <c r="K173" s="6" t="s">
        <v>174</v>
      </c>
      <c r="L173" s="7" t="s">
        <v>175</v>
      </c>
      <c r="M173" s="34" t="s">
        <v>94</v>
      </c>
      <c r="N173" s="7" t="s">
        <v>191</v>
      </c>
      <c r="O173" s="7" t="s">
        <v>284</v>
      </c>
      <c r="P173" s="7" t="s">
        <v>255</v>
      </c>
      <c r="Q173" s="8" t="s">
        <v>179</v>
      </c>
      <c r="R173" s="9">
        <v>77835120</v>
      </c>
      <c r="S173" s="54">
        <f t="shared" si="15"/>
        <v>77835.12</v>
      </c>
      <c r="T173" s="9">
        <v>70051610</v>
      </c>
      <c r="U173" s="54">
        <f t="shared" si="16"/>
        <v>70051.61</v>
      </c>
      <c r="V173" s="10">
        <v>0.90000002569534165</v>
      </c>
      <c r="W173" s="11" t="s">
        <v>180</v>
      </c>
      <c r="X173" s="9">
        <v>-21788165.57</v>
      </c>
      <c r="Y173" s="9">
        <f t="shared" si="17"/>
        <v>-21788.165570000001</v>
      </c>
      <c r="Z173" s="10">
        <f>X173/T173</f>
        <v>-0.31103019002703863</v>
      </c>
      <c r="AA173" s="11" t="s">
        <v>282</v>
      </c>
      <c r="AB173" s="66" t="s">
        <v>193</v>
      </c>
      <c r="AC173" s="11" t="str">
        <f t="shared" si="19"/>
        <v>AMAZONAS ENERGIA</v>
      </c>
      <c r="AD173" s="11" t="s">
        <v>183</v>
      </c>
      <c r="AE173" s="10">
        <f>Z173</f>
        <v>-0.31103019002703863</v>
      </c>
      <c r="AF173" s="9">
        <f>X173</f>
        <v>-21788165.57</v>
      </c>
      <c r="AG173" s="9">
        <f>AF173/1000</f>
        <v>-21788.165570000001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7" t="s">
        <v>184</v>
      </c>
      <c r="AQ173" s="100">
        <v>0</v>
      </c>
    </row>
    <row r="174" spans="1:43" hidden="1">
      <c r="A174" s="103">
        <v>43282</v>
      </c>
      <c r="B174" s="47" t="s">
        <v>252</v>
      </c>
      <c r="C174" s="2" t="s">
        <v>252</v>
      </c>
      <c r="D174" s="2" t="s">
        <v>253</v>
      </c>
      <c r="E174" s="4" t="s">
        <v>254</v>
      </c>
      <c r="F174" s="4" t="s">
        <v>173</v>
      </c>
      <c r="G174" s="5">
        <v>43282</v>
      </c>
      <c r="H174" s="31">
        <v>20237131.800000001</v>
      </c>
      <c r="I174" s="31">
        <v>20237131.800000001</v>
      </c>
      <c r="J174" s="52">
        <f t="shared" si="18"/>
        <v>20237.131799999999</v>
      </c>
      <c r="K174" s="6" t="s">
        <v>174</v>
      </c>
      <c r="L174" s="7" t="s">
        <v>175</v>
      </c>
      <c r="M174" s="34" t="s">
        <v>94</v>
      </c>
      <c r="N174" s="7" t="s">
        <v>191</v>
      </c>
      <c r="O174" s="7" t="s">
        <v>284</v>
      </c>
      <c r="P174" s="7" t="s">
        <v>255</v>
      </c>
      <c r="Q174" s="8" t="s">
        <v>179</v>
      </c>
      <c r="R174" s="9">
        <v>0</v>
      </c>
      <c r="S174" s="54">
        <f t="shared" si="15"/>
        <v>0</v>
      </c>
      <c r="T174" s="9">
        <v>0</v>
      </c>
      <c r="U174" s="54">
        <f t="shared" si="16"/>
        <v>0</v>
      </c>
      <c r="V174" s="11">
        <v>0</v>
      </c>
      <c r="W174" s="11" t="s">
        <v>180</v>
      </c>
      <c r="X174" s="9">
        <v>0</v>
      </c>
      <c r="Y174" s="9">
        <f t="shared" si="17"/>
        <v>0</v>
      </c>
      <c r="Z174" s="11">
        <v>0</v>
      </c>
      <c r="AA174" s="11" t="s">
        <v>282</v>
      </c>
      <c r="AB174" s="66" t="s">
        <v>193</v>
      </c>
      <c r="AC174" s="11" t="str">
        <f t="shared" si="19"/>
        <v>AMAZONAS ENERGIA</v>
      </c>
      <c r="AD174" s="11" t="s">
        <v>183</v>
      </c>
      <c r="AE174" s="10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7" t="s">
        <v>184</v>
      </c>
      <c r="AQ174" s="100">
        <v>0</v>
      </c>
    </row>
    <row r="175" spans="1:43" hidden="1">
      <c r="A175" s="103">
        <v>43101</v>
      </c>
      <c r="B175" s="47" t="s">
        <v>187</v>
      </c>
      <c r="C175" s="2" t="s">
        <v>211</v>
      </c>
      <c r="D175" s="2" t="s">
        <v>228</v>
      </c>
      <c r="E175" s="3" t="s">
        <v>186</v>
      </c>
      <c r="F175" s="4" t="s">
        <v>173</v>
      </c>
      <c r="G175" s="5">
        <v>43070</v>
      </c>
      <c r="H175" s="31">
        <v>1210427.03739</v>
      </c>
      <c r="I175" s="31">
        <v>1210427.03739</v>
      </c>
      <c r="J175" s="52">
        <f t="shared" si="18"/>
        <v>1210.4270373899999</v>
      </c>
      <c r="K175" s="6" t="s">
        <v>174</v>
      </c>
      <c r="L175" s="7" t="s">
        <v>175</v>
      </c>
      <c r="M175" s="34" t="s">
        <v>95</v>
      </c>
      <c r="N175" s="7" t="s">
        <v>229</v>
      </c>
      <c r="O175" s="7" t="s">
        <v>284</v>
      </c>
      <c r="P175" s="7" t="s">
        <v>214</v>
      </c>
      <c r="Q175" s="8" t="s">
        <v>179</v>
      </c>
      <c r="R175" s="9">
        <v>475567610</v>
      </c>
      <c r="S175" s="54">
        <f t="shared" si="15"/>
        <v>475567.61</v>
      </c>
      <c r="T175" s="9">
        <v>356675710</v>
      </c>
      <c r="U175" s="54">
        <f t="shared" si="16"/>
        <v>356675.71</v>
      </c>
      <c r="V175" s="10">
        <v>0.75000000525687605</v>
      </c>
      <c r="W175" s="11" t="s">
        <v>180</v>
      </c>
      <c r="X175" s="9">
        <v>-27410026.010000002</v>
      </c>
      <c r="Y175" s="9">
        <f t="shared" si="17"/>
        <v>-27410.026010000001</v>
      </c>
      <c r="Z175" s="10">
        <f>X175/T175</f>
        <v>-7.6848591708137348E-2</v>
      </c>
      <c r="AA175" s="11" t="s">
        <v>282</v>
      </c>
      <c r="AB175" s="66" t="s">
        <v>230</v>
      </c>
      <c r="AC175" s="11" t="str">
        <f t="shared" si="19"/>
        <v>EQUATORIAL</v>
      </c>
      <c r="AD175" s="11" t="s">
        <v>183</v>
      </c>
      <c r="AE175" s="10">
        <f>Z175</f>
        <v>-7.6848591708137348E-2</v>
      </c>
      <c r="AF175" s="9">
        <f>X175</f>
        <v>-27410026.010000002</v>
      </c>
      <c r="AG175" s="9">
        <f>AF175/1000</f>
        <v>-27410.026010000001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7" t="s">
        <v>184</v>
      </c>
      <c r="AQ175" s="100">
        <v>0</v>
      </c>
    </row>
    <row r="176" spans="1:43" hidden="1">
      <c r="A176" s="103">
        <v>43101</v>
      </c>
      <c r="B176" s="47" t="s">
        <v>187</v>
      </c>
      <c r="C176" s="2" t="s">
        <v>211</v>
      </c>
      <c r="D176" s="2" t="s">
        <v>212</v>
      </c>
      <c r="E176" s="3" t="s">
        <v>213</v>
      </c>
      <c r="F176" s="4" t="s">
        <v>173</v>
      </c>
      <c r="G176" s="5">
        <v>43070</v>
      </c>
      <c r="H176" s="31">
        <v>22425870.460000001</v>
      </c>
      <c r="I176" s="31">
        <v>22425870.460000001</v>
      </c>
      <c r="J176" s="52">
        <f t="shared" si="18"/>
        <v>22425.870460000002</v>
      </c>
      <c r="K176" s="6" t="s">
        <v>174</v>
      </c>
      <c r="L176" s="7" t="s">
        <v>175</v>
      </c>
      <c r="M176" s="34" t="s">
        <v>95</v>
      </c>
      <c r="N176" s="7" t="s">
        <v>229</v>
      </c>
      <c r="O176" s="7" t="s">
        <v>284</v>
      </c>
      <c r="P176" s="7" t="s">
        <v>214</v>
      </c>
      <c r="Q176" s="8" t="s">
        <v>179</v>
      </c>
      <c r="R176" s="9">
        <v>0</v>
      </c>
      <c r="S176" s="54">
        <f t="shared" si="15"/>
        <v>0</v>
      </c>
      <c r="T176" s="9">
        <v>0</v>
      </c>
      <c r="U176" s="54">
        <f t="shared" si="16"/>
        <v>0</v>
      </c>
      <c r="V176" s="11">
        <v>0</v>
      </c>
      <c r="W176" s="11" t="s">
        <v>180</v>
      </c>
      <c r="X176" s="9">
        <v>0</v>
      </c>
      <c r="Y176" s="9">
        <f t="shared" si="17"/>
        <v>0</v>
      </c>
      <c r="Z176" s="11">
        <v>0</v>
      </c>
      <c r="AA176" s="11" t="s">
        <v>282</v>
      </c>
      <c r="AB176" s="66" t="s">
        <v>230</v>
      </c>
      <c r="AC176" s="11" t="str">
        <f t="shared" si="19"/>
        <v>EQUATORIAL</v>
      </c>
      <c r="AD176" s="11" t="s">
        <v>183</v>
      </c>
      <c r="AE176" s="10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7" t="s">
        <v>184</v>
      </c>
      <c r="AQ176" s="100">
        <v>0</v>
      </c>
    </row>
    <row r="177" spans="1:43" hidden="1">
      <c r="A177" s="103">
        <v>43374</v>
      </c>
      <c r="B177" s="47" t="s">
        <v>187</v>
      </c>
      <c r="C177" s="2" t="s">
        <v>211</v>
      </c>
      <c r="D177" s="2" t="s">
        <v>212</v>
      </c>
      <c r="E177" s="3" t="s">
        <v>213</v>
      </c>
      <c r="F177" s="4" t="s">
        <v>173</v>
      </c>
      <c r="G177" s="5">
        <v>43374</v>
      </c>
      <c r="H177" s="31">
        <v>72131072</v>
      </c>
      <c r="I177" s="31">
        <v>72131072</v>
      </c>
      <c r="J177" s="52">
        <f t="shared" si="18"/>
        <v>72131.072</v>
      </c>
      <c r="K177" s="6" t="s">
        <v>174</v>
      </c>
      <c r="L177" s="7" t="s">
        <v>175</v>
      </c>
      <c r="M177" s="34" t="s">
        <v>95</v>
      </c>
      <c r="N177" s="7" t="s">
        <v>229</v>
      </c>
      <c r="O177" s="7" t="s">
        <v>287</v>
      </c>
      <c r="P177" s="7" t="s">
        <v>214</v>
      </c>
      <c r="Q177" s="8" t="s">
        <v>179</v>
      </c>
      <c r="R177" s="9">
        <v>0</v>
      </c>
      <c r="S177" s="54">
        <f t="shared" si="15"/>
        <v>0</v>
      </c>
      <c r="T177" s="9">
        <v>0</v>
      </c>
      <c r="U177" s="54">
        <f t="shared" si="16"/>
        <v>0</v>
      </c>
      <c r="V177" s="11">
        <v>0</v>
      </c>
      <c r="W177" s="11" t="s">
        <v>180</v>
      </c>
      <c r="X177" s="9">
        <v>0</v>
      </c>
      <c r="Y177" s="9">
        <f t="shared" si="17"/>
        <v>0</v>
      </c>
      <c r="Z177" s="11">
        <v>0</v>
      </c>
      <c r="AA177" s="11" t="s">
        <v>282</v>
      </c>
      <c r="AB177" s="66" t="s">
        <v>230</v>
      </c>
      <c r="AC177" s="11" t="str">
        <f t="shared" si="19"/>
        <v>EQUATORIAL</v>
      </c>
      <c r="AD177" s="11" t="s">
        <v>183</v>
      </c>
      <c r="AE177" s="10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7" t="s">
        <v>184</v>
      </c>
      <c r="AQ177" s="100">
        <v>0</v>
      </c>
    </row>
    <row r="178" spans="1:43" hidden="1">
      <c r="A178" s="103">
        <v>43862</v>
      </c>
      <c r="B178" s="47" t="s">
        <v>187</v>
      </c>
      <c r="C178" s="2" t="s">
        <v>211</v>
      </c>
      <c r="D178" s="2" t="s">
        <v>212</v>
      </c>
      <c r="E178" s="4" t="s">
        <v>213</v>
      </c>
      <c r="F178" s="4" t="s">
        <v>173</v>
      </c>
      <c r="G178" s="5">
        <v>43862</v>
      </c>
      <c r="H178" s="31">
        <v>72131072</v>
      </c>
      <c r="I178" s="31">
        <v>72131072</v>
      </c>
      <c r="J178" s="52">
        <f t="shared" ref="J178:J209" si="20">I178/1000</f>
        <v>72131.072</v>
      </c>
      <c r="K178" s="6" t="s">
        <v>174</v>
      </c>
      <c r="L178" s="7" t="s">
        <v>175</v>
      </c>
      <c r="M178" s="34" t="s">
        <v>95</v>
      </c>
      <c r="N178" s="7" t="s">
        <v>229</v>
      </c>
      <c r="O178" s="84" t="s">
        <v>288</v>
      </c>
      <c r="P178" s="7" t="s">
        <v>214</v>
      </c>
      <c r="Q178" s="8" t="s">
        <v>179</v>
      </c>
      <c r="R178" s="9">
        <v>0</v>
      </c>
      <c r="S178" s="54">
        <f t="shared" si="15"/>
        <v>0</v>
      </c>
      <c r="T178" s="9">
        <v>0</v>
      </c>
      <c r="U178" s="54">
        <f t="shared" si="16"/>
        <v>0</v>
      </c>
      <c r="V178" s="11">
        <v>0</v>
      </c>
      <c r="W178" s="11" t="s">
        <v>180</v>
      </c>
      <c r="X178" s="9">
        <v>0</v>
      </c>
      <c r="Y178" s="9">
        <f t="shared" si="17"/>
        <v>0</v>
      </c>
      <c r="Z178" s="11">
        <v>0</v>
      </c>
      <c r="AA178" s="11" t="s">
        <v>282</v>
      </c>
      <c r="AB178" s="66" t="s">
        <v>230</v>
      </c>
      <c r="AC178" s="11" t="str">
        <f t="shared" si="19"/>
        <v>EQUATORIAL</v>
      </c>
      <c r="AD178" s="11" t="s">
        <v>183</v>
      </c>
      <c r="AE178" s="10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7" t="s">
        <v>184</v>
      </c>
      <c r="AQ178" s="100">
        <v>0</v>
      </c>
    </row>
    <row r="179" spans="1:43" hidden="1">
      <c r="A179" s="103">
        <v>43862</v>
      </c>
      <c r="B179" s="47" t="s">
        <v>187</v>
      </c>
      <c r="C179" s="2" t="s">
        <v>211</v>
      </c>
      <c r="D179" s="2" t="s">
        <v>212</v>
      </c>
      <c r="E179" s="4" t="s">
        <v>213</v>
      </c>
      <c r="F179" s="4" t="s">
        <v>173</v>
      </c>
      <c r="G179" s="5">
        <v>43862</v>
      </c>
      <c r="H179" s="31">
        <v>72131072</v>
      </c>
      <c r="I179" s="31">
        <v>72131072</v>
      </c>
      <c r="J179" s="52">
        <f t="shared" si="20"/>
        <v>72131.072</v>
      </c>
      <c r="K179" s="6" t="s">
        <v>174</v>
      </c>
      <c r="L179" s="7" t="s">
        <v>175</v>
      </c>
      <c r="M179" s="34" t="s">
        <v>95</v>
      </c>
      <c r="N179" s="7" t="s">
        <v>229</v>
      </c>
      <c r="O179" s="84" t="s">
        <v>289</v>
      </c>
      <c r="P179" s="7" t="s">
        <v>214</v>
      </c>
      <c r="Q179" s="8" t="s">
        <v>179</v>
      </c>
      <c r="R179" s="9">
        <v>0</v>
      </c>
      <c r="S179" s="54">
        <f t="shared" si="15"/>
        <v>0</v>
      </c>
      <c r="T179" s="9">
        <v>0</v>
      </c>
      <c r="U179" s="54">
        <f t="shared" si="16"/>
        <v>0</v>
      </c>
      <c r="V179" s="11">
        <v>0</v>
      </c>
      <c r="W179" s="11" t="s">
        <v>180</v>
      </c>
      <c r="X179" s="9">
        <v>0</v>
      </c>
      <c r="Y179" s="9">
        <f t="shared" si="17"/>
        <v>0</v>
      </c>
      <c r="Z179" s="11">
        <v>0</v>
      </c>
      <c r="AA179" s="11" t="s">
        <v>282</v>
      </c>
      <c r="AB179" s="66" t="s">
        <v>230</v>
      </c>
      <c r="AC179" s="11" t="str">
        <f t="shared" si="19"/>
        <v>EQUATORIAL</v>
      </c>
      <c r="AD179" s="11" t="s">
        <v>183</v>
      </c>
      <c r="AE179" s="10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7" t="s">
        <v>184</v>
      </c>
      <c r="AQ179" s="100">
        <v>0</v>
      </c>
    </row>
    <row r="180" spans="1:43" hidden="1">
      <c r="A180" s="103">
        <v>43282</v>
      </c>
      <c r="B180" s="47" t="s">
        <v>252</v>
      </c>
      <c r="C180" s="2" t="s">
        <v>252</v>
      </c>
      <c r="D180" s="2" t="s">
        <v>228</v>
      </c>
      <c r="E180" s="3" t="s">
        <v>186</v>
      </c>
      <c r="F180" s="4" t="s">
        <v>173</v>
      </c>
      <c r="G180" s="5">
        <v>43282</v>
      </c>
      <c r="H180" s="31">
        <v>3281134.3</v>
      </c>
      <c r="I180" s="31">
        <v>3281134.3</v>
      </c>
      <c r="J180" s="52">
        <f t="shared" si="20"/>
        <v>3281.1342999999997</v>
      </c>
      <c r="K180" s="6" t="s">
        <v>174</v>
      </c>
      <c r="L180" s="7" t="s">
        <v>175</v>
      </c>
      <c r="M180" s="34" t="s">
        <v>96</v>
      </c>
      <c r="N180" s="7" t="s">
        <v>314</v>
      </c>
      <c r="O180" s="7" t="s">
        <v>284</v>
      </c>
      <c r="P180" s="7" t="s">
        <v>255</v>
      </c>
      <c r="Q180" s="8" t="s">
        <v>179</v>
      </c>
      <c r="R180" s="9">
        <v>328113360</v>
      </c>
      <c r="S180" s="54">
        <f t="shared" si="15"/>
        <v>328113.36</v>
      </c>
      <c r="T180" s="9">
        <v>295302020</v>
      </c>
      <c r="U180" s="54">
        <f t="shared" si="16"/>
        <v>295302.02</v>
      </c>
      <c r="V180" s="10">
        <v>0.8999999878090913</v>
      </c>
      <c r="W180" s="11" t="s">
        <v>180</v>
      </c>
      <c r="X180" s="9">
        <v>-46421184.890000001</v>
      </c>
      <c r="Y180" s="9">
        <f t="shared" si="17"/>
        <v>-46421.184890000004</v>
      </c>
      <c r="Z180" s="10">
        <f>X180/T180</f>
        <v>-0.15719900896715844</v>
      </c>
      <c r="AA180" s="11" t="s">
        <v>282</v>
      </c>
      <c r="AB180" s="65" t="s">
        <v>316</v>
      </c>
      <c r="AC180" s="11" t="str">
        <f t="shared" si="19"/>
        <v>AMAZONAS ENERGIA</v>
      </c>
      <c r="AD180" s="11" t="s">
        <v>183</v>
      </c>
      <c r="AE180" s="10">
        <f>Z180</f>
        <v>-0.15719900896715844</v>
      </c>
      <c r="AF180" s="9">
        <f>X180</f>
        <v>-46421184.890000001</v>
      </c>
      <c r="AG180" s="9">
        <f>AF180/1000</f>
        <v>-46421.184890000004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97" t="s">
        <v>184</v>
      </c>
      <c r="AQ180" s="100">
        <v>0</v>
      </c>
    </row>
    <row r="181" spans="1:43" hidden="1">
      <c r="A181" s="103">
        <v>43282</v>
      </c>
      <c r="B181" s="47" t="s">
        <v>252</v>
      </c>
      <c r="C181" s="2" t="s">
        <v>252</v>
      </c>
      <c r="D181" s="2" t="s">
        <v>253</v>
      </c>
      <c r="E181" s="4" t="s">
        <v>254</v>
      </c>
      <c r="F181" s="4" t="s">
        <v>173</v>
      </c>
      <c r="G181" s="5">
        <v>43282</v>
      </c>
      <c r="H181" s="31">
        <v>85309489.700000003</v>
      </c>
      <c r="I181" s="31">
        <v>85309489.700000003</v>
      </c>
      <c r="J181" s="52">
        <f t="shared" si="20"/>
        <v>85309.489700000006</v>
      </c>
      <c r="K181" s="6" t="s">
        <v>174</v>
      </c>
      <c r="L181" s="7" t="s">
        <v>175</v>
      </c>
      <c r="M181" s="34" t="s">
        <v>96</v>
      </c>
      <c r="N181" s="7" t="s">
        <v>314</v>
      </c>
      <c r="O181" s="7" t="s">
        <v>284</v>
      </c>
      <c r="P181" s="7" t="s">
        <v>255</v>
      </c>
      <c r="Q181" s="8" t="s">
        <v>179</v>
      </c>
      <c r="R181" s="9">
        <v>0</v>
      </c>
      <c r="S181" s="54">
        <f t="shared" si="15"/>
        <v>0</v>
      </c>
      <c r="T181" s="9">
        <v>0</v>
      </c>
      <c r="U181" s="54">
        <f t="shared" si="16"/>
        <v>0</v>
      </c>
      <c r="V181" s="11">
        <v>0</v>
      </c>
      <c r="W181" s="11" t="s">
        <v>180</v>
      </c>
      <c r="X181" s="9">
        <v>0</v>
      </c>
      <c r="Y181" s="9">
        <f t="shared" si="17"/>
        <v>0</v>
      </c>
      <c r="Z181" s="11">
        <v>0</v>
      </c>
      <c r="AA181" s="11" t="s">
        <v>282</v>
      </c>
      <c r="AB181" s="65" t="s">
        <v>316</v>
      </c>
      <c r="AC181" s="11" t="str">
        <f t="shared" si="19"/>
        <v>AMAZONAS ENERGIA</v>
      </c>
      <c r="AD181" s="11" t="s">
        <v>183</v>
      </c>
      <c r="AE181" s="10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7" t="s">
        <v>184</v>
      </c>
      <c r="AQ181" s="100">
        <v>0</v>
      </c>
    </row>
    <row r="182" spans="1:43" hidden="1">
      <c r="A182" s="103">
        <v>43405</v>
      </c>
      <c r="B182" s="47" t="s">
        <v>252</v>
      </c>
      <c r="C182" s="2" t="s">
        <v>252</v>
      </c>
      <c r="D182" s="2" t="s">
        <v>253</v>
      </c>
      <c r="E182" s="4" t="s">
        <v>254</v>
      </c>
      <c r="F182" s="4" t="s">
        <v>173</v>
      </c>
      <c r="G182" s="5">
        <v>43405</v>
      </c>
      <c r="H182" s="31">
        <v>59060416</v>
      </c>
      <c r="I182" s="31">
        <v>59060416</v>
      </c>
      <c r="J182" s="52">
        <f t="shared" si="20"/>
        <v>59060.415999999997</v>
      </c>
      <c r="K182" s="6" t="s">
        <v>174</v>
      </c>
      <c r="L182" s="7" t="s">
        <v>175</v>
      </c>
      <c r="M182" s="34" t="s">
        <v>96</v>
      </c>
      <c r="N182" s="7" t="s">
        <v>314</v>
      </c>
      <c r="O182" s="7" t="s">
        <v>287</v>
      </c>
      <c r="P182" s="7" t="s">
        <v>255</v>
      </c>
      <c r="Q182" s="8" t="s">
        <v>179</v>
      </c>
      <c r="R182" s="9">
        <v>0</v>
      </c>
      <c r="S182" s="54">
        <f t="shared" si="15"/>
        <v>0</v>
      </c>
      <c r="T182" s="9">
        <v>0</v>
      </c>
      <c r="U182" s="54">
        <f t="shared" si="16"/>
        <v>0</v>
      </c>
      <c r="V182" s="11">
        <v>0</v>
      </c>
      <c r="W182" s="11" t="s">
        <v>180</v>
      </c>
      <c r="X182" s="9">
        <v>0</v>
      </c>
      <c r="Y182" s="9">
        <f t="shared" si="17"/>
        <v>0</v>
      </c>
      <c r="Z182" s="11">
        <v>0</v>
      </c>
      <c r="AA182" s="11" t="s">
        <v>282</v>
      </c>
      <c r="AB182" s="65" t="s">
        <v>316</v>
      </c>
      <c r="AC182" s="11" t="str">
        <f t="shared" si="19"/>
        <v>AMAZONAS ENERGIA</v>
      </c>
      <c r="AD182" s="11" t="s">
        <v>183</v>
      </c>
      <c r="AE182" s="10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97" t="s">
        <v>184</v>
      </c>
      <c r="AQ182" s="100">
        <v>0</v>
      </c>
    </row>
    <row r="183" spans="1:43" hidden="1">
      <c r="A183" s="103">
        <v>44166</v>
      </c>
      <c r="B183" s="47" t="s">
        <v>252</v>
      </c>
      <c r="C183" s="2" t="s">
        <v>252</v>
      </c>
      <c r="D183" s="2" t="s">
        <v>253</v>
      </c>
      <c r="E183" s="4" t="s">
        <v>254</v>
      </c>
      <c r="F183" s="4" t="s">
        <v>173</v>
      </c>
      <c r="G183" s="5">
        <v>44166</v>
      </c>
      <c r="H183" s="31">
        <v>59060416</v>
      </c>
      <c r="I183" s="31">
        <v>59060416</v>
      </c>
      <c r="J183" s="52">
        <f t="shared" si="20"/>
        <v>59060.415999999997</v>
      </c>
      <c r="K183" s="12">
        <v>44188</v>
      </c>
      <c r="L183" s="7" t="s">
        <v>175</v>
      </c>
      <c r="M183" s="34" t="s">
        <v>96</v>
      </c>
      <c r="N183" s="7" t="s">
        <v>314</v>
      </c>
      <c r="O183" s="7" t="s">
        <v>296</v>
      </c>
      <c r="P183" s="7" t="s">
        <v>255</v>
      </c>
      <c r="Q183" s="8" t="s">
        <v>179</v>
      </c>
      <c r="R183" s="9">
        <v>0</v>
      </c>
      <c r="S183" s="54">
        <f t="shared" si="15"/>
        <v>0</v>
      </c>
      <c r="T183" s="9">
        <v>0</v>
      </c>
      <c r="U183" s="54">
        <f t="shared" si="16"/>
        <v>0</v>
      </c>
      <c r="V183" s="11">
        <v>0</v>
      </c>
      <c r="W183" s="11" t="s">
        <v>180</v>
      </c>
      <c r="X183" s="9">
        <v>0</v>
      </c>
      <c r="Y183" s="9">
        <f t="shared" si="17"/>
        <v>0</v>
      </c>
      <c r="Z183" s="11">
        <v>0</v>
      </c>
      <c r="AA183" s="11" t="s">
        <v>282</v>
      </c>
      <c r="AB183" s="65" t="s">
        <v>316</v>
      </c>
      <c r="AC183" s="11" t="str">
        <f t="shared" si="19"/>
        <v>AMAZONAS ENERGIA</v>
      </c>
      <c r="AD183" s="11" t="s">
        <v>183</v>
      </c>
      <c r="AE183" s="10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7" t="s">
        <v>184</v>
      </c>
      <c r="AQ183" s="100">
        <v>0</v>
      </c>
    </row>
    <row r="184" spans="1:43" hidden="1">
      <c r="A184" s="103">
        <v>44409</v>
      </c>
      <c r="B184" s="47" t="s">
        <v>252</v>
      </c>
      <c r="C184" s="2" t="s">
        <v>252</v>
      </c>
      <c r="D184" s="2" t="s">
        <v>253</v>
      </c>
      <c r="E184" s="4" t="s">
        <v>254</v>
      </c>
      <c r="F184" s="4" t="s">
        <v>173</v>
      </c>
      <c r="G184" s="5">
        <v>44409</v>
      </c>
      <c r="H184" s="31">
        <v>59060416</v>
      </c>
      <c r="I184" s="31">
        <v>59060416</v>
      </c>
      <c r="J184" s="52">
        <f t="shared" si="20"/>
        <v>59060.415999999997</v>
      </c>
      <c r="K184" s="6" t="s">
        <v>174</v>
      </c>
      <c r="L184" s="7" t="s">
        <v>175</v>
      </c>
      <c r="M184" s="34" t="s">
        <v>96</v>
      </c>
      <c r="N184" s="7" t="s">
        <v>314</v>
      </c>
      <c r="O184" s="7" t="s">
        <v>289</v>
      </c>
      <c r="P184" s="7" t="s">
        <v>255</v>
      </c>
      <c r="Q184" s="8" t="s">
        <v>179</v>
      </c>
      <c r="R184" s="9">
        <v>0</v>
      </c>
      <c r="S184" s="54">
        <f t="shared" si="15"/>
        <v>0</v>
      </c>
      <c r="T184" s="9">
        <v>0</v>
      </c>
      <c r="U184" s="54">
        <f t="shared" si="16"/>
        <v>0</v>
      </c>
      <c r="V184" s="11">
        <v>0</v>
      </c>
      <c r="W184" s="11" t="s">
        <v>180</v>
      </c>
      <c r="X184" s="9">
        <v>0</v>
      </c>
      <c r="Y184" s="9">
        <f t="shared" si="17"/>
        <v>0</v>
      </c>
      <c r="Z184" s="11">
        <v>0</v>
      </c>
      <c r="AA184" s="11" t="s">
        <v>282</v>
      </c>
      <c r="AB184" s="65" t="s">
        <v>316</v>
      </c>
      <c r="AC184" s="11" t="str">
        <f t="shared" si="19"/>
        <v>AMAZONAS ENERGIA</v>
      </c>
      <c r="AD184" s="11" t="s">
        <v>183</v>
      </c>
      <c r="AE184" s="10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7" t="s">
        <v>184</v>
      </c>
      <c r="AQ184" s="100">
        <v>0</v>
      </c>
    </row>
    <row r="185" spans="1:43" hidden="1">
      <c r="A185" s="103">
        <v>43191</v>
      </c>
      <c r="B185" s="48" t="s">
        <v>290</v>
      </c>
      <c r="C185" s="2" t="s">
        <v>290</v>
      </c>
      <c r="D185" s="2" t="s">
        <v>228</v>
      </c>
      <c r="E185" s="3" t="s">
        <v>186</v>
      </c>
      <c r="F185" s="4" t="s">
        <v>173</v>
      </c>
      <c r="G185" s="5">
        <v>43191</v>
      </c>
      <c r="H185" s="31">
        <v>116925.8</v>
      </c>
      <c r="I185" s="31">
        <v>116925.8</v>
      </c>
      <c r="J185" s="52">
        <f t="shared" si="20"/>
        <v>116.92580000000001</v>
      </c>
      <c r="K185" s="6" t="s">
        <v>174</v>
      </c>
      <c r="L185" s="7" t="s">
        <v>175</v>
      </c>
      <c r="M185" s="34" t="s">
        <v>97</v>
      </c>
      <c r="N185" s="7" t="s">
        <v>208</v>
      </c>
      <c r="O185" s="7" t="s">
        <v>284</v>
      </c>
      <c r="P185" s="7" t="s">
        <v>291</v>
      </c>
      <c r="Q185" s="8" t="s">
        <v>179</v>
      </c>
      <c r="R185" s="9">
        <v>11692560</v>
      </c>
      <c r="S185" s="54">
        <f t="shared" si="15"/>
        <v>11692.56</v>
      </c>
      <c r="T185" s="9">
        <v>10523310</v>
      </c>
      <c r="U185" s="54">
        <f t="shared" si="16"/>
        <v>10523.31</v>
      </c>
      <c r="V185" s="10">
        <v>0.90000051314682161</v>
      </c>
      <c r="W185" s="11" t="s">
        <v>180</v>
      </c>
      <c r="X185" s="9">
        <v>0</v>
      </c>
      <c r="Y185" s="9">
        <f t="shared" si="17"/>
        <v>0</v>
      </c>
      <c r="Z185" s="11">
        <v>0</v>
      </c>
      <c r="AA185" s="11" t="s">
        <v>282</v>
      </c>
      <c r="AB185" s="66" t="s">
        <v>210</v>
      </c>
      <c r="AC185" s="11" t="str">
        <f t="shared" si="19"/>
        <v>RORAIMA ENERGIA</v>
      </c>
      <c r="AD185" s="11" t="s">
        <v>183</v>
      </c>
      <c r="AE185" s="10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7" t="s">
        <v>184</v>
      </c>
      <c r="AQ185" s="100">
        <v>0</v>
      </c>
    </row>
    <row r="186" spans="1:43" hidden="1">
      <c r="A186" s="103">
        <v>43191</v>
      </c>
      <c r="B186" s="47" t="s">
        <v>290</v>
      </c>
      <c r="C186" s="2" t="s">
        <v>290</v>
      </c>
      <c r="D186" s="2" t="s">
        <v>317</v>
      </c>
      <c r="E186" s="4" t="s">
        <v>295</v>
      </c>
      <c r="F186" s="4" t="s">
        <v>173</v>
      </c>
      <c r="G186" s="5">
        <v>43191</v>
      </c>
      <c r="H186" s="31">
        <v>3040073.2</v>
      </c>
      <c r="I186" s="31">
        <v>3040073.2</v>
      </c>
      <c r="J186" s="52">
        <f t="shared" si="20"/>
        <v>3040.0732000000003</v>
      </c>
      <c r="K186" s="6" t="s">
        <v>174</v>
      </c>
      <c r="L186" s="7" t="s">
        <v>175</v>
      </c>
      <c r="M186" s="34" t="s">
        <v>97</v>
      </c>
      <c r="N186" s="7" t="s">
        <v>208</v>
      </c>
      <c r="O186" s="7" t="s">
        <v>284</v>
      </c>
      <c r="P186" s="7" t="s">
        <v>291</v>
      </c>
      <c r="Q186" s="8" t="s">
        <v>179</v>
      </c>
      <c r="R186" s="9">
        <v>0</v>
      </c>
      <c r="S186" s="54">
        <f t="shared" si="15"/>
        <v>0</v>
      </c>
      <c r="T186" s="9">
        <v>0</v>
      </c>
      <c r="U186" s="54">
        <f t="shared" si="16"/>
        <v>0</v>
      </c>
      <c r="V186" s="10">
        <v>0</v>
      </c>
      <c r="W186" s="11" t="s">
        <v>180</v>
      </c>
      <c r="X186" s="9">
        <v>0</v>
      </c>
      <c r="Y186" s="9">
        <f t="shared" si="17"/>
        <v>0</v>
      </c>
      <c r="Z186" s="11">
        <v>0</v>
      </c>
      <c r="AA186" s="11" t="s">
        <v>282</v>
      </c>
      <c r="AB186" s="66" t="s">
        <v>210</v>
      </c>
      <c r="AC186" s="11" t="str">
        <f t="shared" si="19"/>
        <v>RORAIMA ENERGIA</v>
      </c>
      <c r="AD186" s="11" t="s">
        <v>183</v>
      </c>
      <c r="AE186" s="10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7" t="s">
        <v>184</v>
      </c>
      <c r="AQ186" s="100">
        <v>0</v>
      </c>
    </row>
    <row r="187" spans="1:43" hidden="1">
      <c r="A187" s="103">
        <v>43678</v>
      </c>
      <c r="B187" s="47" t="s">
        <v>290</v>
      </c>
      <c r="C187" s="2" t="s">
        <v>290</v>
      </c>
      <c r="D187" s="2" t="s">
        <v>294</v>
      </c>
      <c r="E187" s="3" t="s">
        <v>295</v>
      </c>
      <c r="F187" s="4" t="s">
        <v>173</v>
      </c>
      <c r="G187" s="5">
        <v>43678</v>
      </c>
      <c r="H187" s="31">
        <v>1052333</v>
      </c>
      <c r="I187" s="31">
        <v>1052333</v>
      </c>
      <c r="J187" s="52">
        <f t="shared" si="20"/>
        <v>1052.3330000000001</v>
      </c>
      <c r="K187" s="6" t="s">
        <v>174</v>
      </c>
      <c r="L187" s="7" t="s">
        <v>175</v>
      </c>
      <c r="M187" s="34" t="s">
        <v>97</v>
      </c>
      <c r="N187" s="7" t="s">
        <v>208</v>
      </c>
      <c r="O187" s="7" t="s">
        <v>287</v>
      </c>
      <c r="P187" s="7" t="s">
        <v>291</v>
      </c>
      <c r="Q187" s="8" t="s">
        <v>179</v>
      </c>
      <c r="R187" s="9">
        <v>0</v>
      </c>
      <c r="S187" s="54">
        <f t="shared" si="15"/>
        <v>0</v>
      </c>
      <c r="T187" s="9">
        <v>0</v>
      </c>
      <c r="U187" s="54">
        <f t="shared" si="16"/>
        <v>0</v>
      </c>
      <c r="V187" s="11">
        <v>0</v>
      </c>
      <c r="W187" s="11" t="s">
        <v>180</v>
      </c>
      <c r="X187" s="9">
        <v>0</v>
      </c>
      <c r="Y187" s="9">
        <f t="shared" si="17"/>
        <v>0</v>
      </c>
      <c r="Z187" s="11">
        <v>0</v>
      </c>
      <c r="AA187" s="11" t="s">
        <v>282</v>
      </c>
      <c r="AB187" s="66" t="s">
        <v>210</v>
      </c>
      <c r="AC187" s="11" t="str">
        <f t="shared" si="19"/>
        <v>RORAIMA ENERGIA</v>
      </c>
      <c r="AD187" s="11" t="s">
        <v>183</v>
      </c>
      <c r="AE187" s="10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7" t="s">
        <v>184</v>
      </c>
      <c r="AQ187" s="100">
        <v>0</v>
      </c>
    </row>
    <row r="188" spans="1:43" hidden="1">
      <c r="A188" s="103">
        <v>44409</v>
      </c>
      <c r="B188" s="47" t="s">
        <v>290</v>
      </c>
      <c r="C188" s="2" t="s">
        <v>290</v>
      </c>
      <c r="D188" s="2" t="s">
        <v>294</v>
      </c>
      <c r="E188" s="4" t="s">
        <v>295</v>
      </c>
      <c r="F188" s="4" t="s">
        <v>173</v>
      </c>
      <c r="G188" s="5">
        <v>44409</v>
      </c>
      <c r="H188" s="31">
        <v>1578492.5</v>
      </c>
      <c r="I188" s="31">
        <v>1578492.5</v>
      </c>
      <c r="J188" s="52">
        <f t="shared" si="20"/>
        <v>1578.4925000000001</v>
      </c>
      <c r="K188" s="6" t="s">
        <v>174</v>
      </c>
      <c r="L188" s="7" t="s">
        <v>175</v>
      </c>
      <c r="M188" s="34" t="s">
        <v>97</v>
      </c>
      <c r="N188" s="7" t="s">
        <v>208</v>
      </c>
      <c r="O188" s="84" t="s">
        <v>288</v>
      </c>
      <c r="P188" s="7" t="s">
        <v>291</v>
      </c>
      <c r="Q188" s="8" t="s">
        <v>179</v>
      </c>
      <c r="R188" s="9">
        <v>0</v>
      </c>
      <c r="S188" s="54">
        <f t="shared" si="15"/>
        <v>0</v>
      </c>
      <c r="T188" s="9">
        <v>0</v>
      </c>
      <c r="U188" s="54">
        <f t="shared" si="16"/>
        <v>0</v>
      </c>
      <c r="V188" s="11">
        <v>0</v>
      </c>
      <c r="W188" s="11" t="s">
        <v>180</v>
      </c>
      <c r="X188" s="9">
        <v>0</v>
      </c>
      <c r="Y188" s="9">
        <f t="shared" si="17"/>
        <v>0</v>
      </c>
      <c r="Z188" s="11">
        <v>0</v>
      </c>
      <c r="AA188" s="11" t="s">
        <v>282</v>
      </c>
      <c r="AB188" s="66" t="s">
        <v>210</v>
      </c>
      <c r="AC188" s="11" t="str">
        <f t="shared" si="19"/>
        <v>RORAIMA ENERGIA</v>
      </c>
      <c r="AD188" s="11" t="s">
        <v>183</v>
      </c>
      <c r="AE188" s="10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7" t="s">
        <v>184</v>
      </c>
      <c r="AQ188" s="100">
        <v>0</v>
      </c>
    </row>
    <row r="189" spans="1:43" hidden="1">
      <c r="A189" s="103">
        <v>44409</v>
      </c>
      <c r="B189" s="47" t="s">
        <v>290</v>
      </c>
      <c r="C189" s="2" t="s">
        <v>290</v>
      </c>
      <c r="D189" s="2" t="s">
        <v>294</v>
      </c>
      <c r="E189" s="4" t="s">
        <v>295</v>
      </c>
      <c r="F189" s="4" t="s">
        <v>173</v>
      </c>
      <c r="G189" s="5">
        <v>44409</v>
      </c>
      <c r="H189" s="31">
        <v>1578492.5</v>
      </c>
      <c r="I189" s="31">
        <v>1578492.5</v>
      </c>
      <c r="J189" s="52">
        <f t="shared" si="20"/>
        <v>1578.4925000000001</v>
      </c>
      <c r="K189" s="6" t="s">
        <v>174</v>
      </c>
      <c r="L189" s="7" t="s">
        <v>175</v>
      </c>
      <c r="M189" s="34" t="s">
        <v>97</v>
      </c>
      <c r="N189" s="7" t="s">
        <v>208</v>
      </c>
      <c r="O189" s="84" t="s">
        <v>289</v>
      </c>
      <c r="P189" s="7" t="s">
        <v>291</v>
      </c>
      <c r="Q189" s="8" t="s">
        <v>179</v>
      </c>
      <c r="R189" s="9">
        <v>0</v>
      </c>
      <c r="S189" s="54">
        <f t="shared" si="15"/>
        <v>0</v>
      </c>
      <c r="T189" s="9">
        <v>0</v>
      </c>
      <c r="U189" s="54">
        <f t="shared" si="16"/>
        <v>0</v>
      </c>
      <c r="V189" s="11">
        <v>0</v>
      </c>
      <c r="W189" s="11" t="s">
        <v>180</v>
      </c>
      <c r="X189" s="9">
        <v>0</v>
      </c>
      <c r="Y189" s="9">
        <f t="shared" si="17"/>
        <v>0</v>
      </c>
      <c r="Z189" s="11">
        <v>0</v>
      </c>
      <c r="AA189" s="11" t="s">
        <v>282</v>
      </c>
      <c r="AB189" s="66" t="s">
        <v>210</v>
      </c>
      <c r="AC189" s="11" t="str">
        <f t="shared" si="19"/>
        <v>RORAIMA ENERGIA</v>
      </c>
      <c r="AD189" s="11" t="s">
        <v>183</v>
      </c>
      <c r="AE189" s="10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7" t="s">
        <v>184</v>
      </c>
      <c r="AQ189" s="100">
        <v>0</v>
      </c>
    </row>
    <row r="190" spans="1:43" hidden="1">
      <c r="A190" s="103">
        <v>45078</v>
      </c>
      <c r="B190" s="47" t="s">
        <v>290</v>
      </c>
      <c r="C190" s="2" t="s">
        <v>290</v>
      </c>
      <c r="D190" s="2" t="s">
        <v>294</v>
      </c>
      <c r="E190" s="4" t="s">
        <v>295</v>
      </c>
      <c r="F190" s="4" t="s">
        <v>173</v>
      </c>
      <c r="G190" s="5">
        <v>45078</v>
      </c>
      <c r="H190" s="31">
        <v>570253.13</v>
      </c>
      <c r="I190" s="31">
        <v>570253.13</v>
      </c>
      <c r="J190" s="52">
        <f t="shared" si="20"/>
        <v>570.25313000000006</v>
      </c>
      <c r="K190" s="6" t="s">
        <v>174</v>
      </c>
      <c r="L190" s="7" t="s">
        <v>175</v>
      </c>
      <c r="M190" s="34" t="s">
        <v>97</v>
      </c>
      <c r="N190" s="7" t="s">
        <v>208</v>
      </c>
      <c r="O190" s="7" t="s">
        <v>177</v>
      </c>
      <c r="P190" s="7" t="s">
        <v>291</v>
      </c>
      <c r="Q190" s="8" t="s">
        <v>179</v>
      </c>
      <c r="R190" s="9">
        <v>0</v>
      </c>
      <c r="S190" s="54">
        <f t="shared" si="15"/>
        <v>0</v>
      </c>
      <c r="T190" s="9">
        <v>0</v>
      </c>
      <c r="U190" s="54">
        <f t="shared" si="16"/>
        <v>0</v>
      </c>
      <c r="V190" s="11">
        <v>0</v>
      </c>
      <c r="W190" s="11" t="s">
        <v>180</v>
      </c>
      <c r="X190" s="9">
        <v>0</v>
      </c>
      <c r="Y190" s="9">
        <f t="shared" si="17"/>
        <v>0</v>
      </c>
      <c r="Z190" s="11">
        <v>0</v>
      </c>
      <c r="AA190" s="11" t="s">
        <v>282</v>
      </c>
      <c r="AB190" s="66" t="s">
        <v>210</v>
      </c>
      <c r="AC190" s="11" t="str">
        <f t="shared" si="19"/>
        <v>RORAIMA ENERGIA</v>
      </c>
      <c r="AD190" s="11" t="s">
        <v>183</v>
      </c>
      <c r="AE190" s="10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7" t="s">
        <v>184</v>
      </c>
      <c r="AQ190" s="100">
        <v>0</v>
      </c>
    </row>
    <row r="191" spans="1:43" hidden="1">
      <c r="A191" s="103">
        <v>43252</v>
      </c>
      <c r="B191" s="47" t="s">
        <v>187</v>
      </c>
      <c r="C191" s="2" t="s">
        <v>188</v>
      </c>
      <c r="D191" s="2" t="s">
        <v>228</v>
      </c>
      <c r="E191" s="3" t="s">
        <v>186</v>
      </c>
      <c r="F191" s="4" t="s">
        <v>173</v>
      </c>
      <c r="G191" s="5">
        <v>43252</v>
      </c>
      <c r="H191" s="31">
        <v>49317687</v>
      </c>
      <c r="I191" s="31">
        <v>49317687</v>
      </c>
      <c r="J191" s="52">
        <f t="shared" si="20"/>
        <v>49317.686999999998</v>
      </c>
      <c r="K191" s="6" t="s">
        <v>174</v>
      </c>
      <c r="L191" s="7" t="s">
        <v>175</v>
      </c>
      <c r="M191" s="34" t="s">
        <v>98</v>
      </c>
      <c r="N191" s="7" t="s">
        <v>202</v>
      </c>
      <c r="O191" s="7" t="s">
        <v>284</v>
      </c>
      <c r="P191" s="7" t="s">
        <v>192</v>
      </c>
      <c r="Q191" s="8" t="s">
        <v>179</v>
      </c>
      <c r="R191" s="9">
        <v>172681140</v>
      </c>
      <c r="S191" s="54">
        <f t="shared" si="15"/>
        <v>172681.14</v>
      </c>
      <c r="T191" s="9">
        <v>164392290</v>
      </c>
      <c r="U191" s="54">
        <f t="shared" si="16"/>
        <v>164392.29</v>
      </c>
      <c r="V191" s="10">
        <f>T191/R191</f>
        <v>0.95199910077035632</v>
      </c>
      <c r="W191" s="11" t="s">
        <v>180</v>
      </c>
      <c r="X191" s="9">
        <v>0</v>
      </c>
      <c r="Y191" s="9">
        <f t="shared" si="17"/>
        <v>0</v>
      </c>
      <c r="Z191" s="11">
        <v>0</v>
      </c>
      <c r="AA191" s="11" t="s">
        <v>282</v>
      </c>
      <c r="AB191" s="66" t="s">
        <v>204</v>
      </c>
      <c r="AC191" s="11" t="str">
        <f t="shared" si="19"/>
        <v>EQUATORIAL</v>
      </c>
      <c r="AD191" s="11" t="s">
        <v>183</v>
      </c>
      <c r="AE191" s="10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7" t="s">
        <v>184</v>
      </c>
      <c r="AQ191" s="100">
        <v>0</v>
      </c>
    </row>
    <row r="192" spans="1:43" hidden="1">
      <c r="A192" s="103">
        <v>43252</v>
      </c>
      <c r="B192" s="47" t="s">
        <v>187</v>
      </c>
      <c r="C192" s="2" t="s">
        <v>188</v>
      </c>
      <c r="D192" s="2" t="s">
        <v>318</v>
      </c>
      <c r="E192" s="4" t="s">
        <v>190</v>
      </c>
      <c r="F192" s="4" t="s">
        <v>173</v>
      </c>
      <c r="G192" s="5">
        <v>43252</v>
      </c>
      <c r="H192" s="31">
        <v>47590875.600000001</v>
      </c>
      <c r="I192" s="31">
        <v>47590875.600000001</v>
      </c>
      <c r="J192" s="52">
        <f t="shared" si="20"/>
        <v>47590.875599999999</v>
      </c>
      <c r="K192" s="6" t="s">
        <v>174</v>
      </c>
      <c r="L192" s="7" t="s">
        <v>175</v>
      </c>
      <c r="M192" s="34" t="s">
        <v>98</v>
      </c>
      <c r="N192" s="7" t="s">
        <v>202</v>
      </c>
      <c r="O192" s="7" t="s">
        <v>284</v>
      </c>
      <c r="P192" s="7" t="s">
        <v>192</v>
      </c>
      <c r="Q192" s="8" t="s">
        <v>179</v>
      </c>
      <c r="R192" s="9">
        <v>0</v>
      </c>
      <c r="S192" s="54">
        <f t="shared" si="15"/>
        <v>0</v>
      </c>
      <c r="T192" s="9">
        <v>0</v>
      </c>
      <c r="U192" s="54">
        <f t="shared" si="16"/>
        <v>0</v>
      </c>
      <c r="V192" s="11">
        <v>0</v>
      </c>
      <c r="W192" s="11" t="s">
        <v>180</v>
      </c>
      <c r="X192" s="9">
        <v>0</v>
      </c>
      <c r="Y192" s="9">
        <f t="shared" si="17"/>
        <v>0</v>
      </c>
      <c r="Z192" s="11">
        <v>0</v>
      </c>
      <c r="AA192" s="11" t="s">
        <v>282</v>
      </c>
      <c r="AB192" s="66" t="s">
        <v>204</v>
      </c>
      <c r="AC192" s="11" t="str">
        <f t="shared" si="19"/>
        <v>EQUATORIAL</v>
      </c>
      <c r="AD192" s="11" t="s">
        <v>183</v>
      </c>
      <c r="AE192" s="10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7" t="s">
        <v>184</v>
      </c>
      <c r="AQ192" s="100">
        <v>0</v>
      </c>
    </row>
    <row r="193" spans="1:43" hidden="1">
      <c r="A193" s="103">
        <v>43252</v>
      </c>
      <c r="B193" s="47" t="s">
        <v>187</v>
      </c>
      <c r="C193" s="2" t="s">
        <v>188</v>
      </c>
      <c r="D193" s="2" t="s">
        <v>307</v>
      </c>
      <c r="E193" s="4" t="s">
        <v>308</v>
      </c>
      <c r="F193" s="4" t="s">
        <v>173</v>
      </c>
      <c r="G193" s="5">
        <v>43252</v>
      </c>
      <c r="H193" s="31">
        <v>6920295.0499999998</v>
      </c>
      <c r="I193" s="31">
        <v>6920295.0499999998</v>
      </c>
      <c r="J193" s="52">
        <f t="shared" si="20"/>
        <v>6920.2950499999997</v>
      </c>
      <c r="K193" s="6" t="s">
        <v>174</v>
      </c>
      <c r="L193" s="7" t="s">
        <v>175</v>
      </c>
      <c r="M193" s="34" t="s">
        <v>48</v>
      </c>
      <c r="N193" s="7" t="s">
        <v>191</v>
      </c>
      <c r="O193" s="7" t="s">
        <v>284</v>
      </c>
      <c r="P193" s="7" t="s">
        <v>192</v>
      </c>
      <c r="Q193" s="8" t="s">
        <v>179</v>
      </c>
      <c r="R193" s="9">
        <v>82637010</v>
      </c>
      <c r="S193" s="54">
        <f t="shared" si="15"/>
        <v>82637.009999999995</v>
      </c>
      <c r="T193" s="9">
        <v>74373310</v>
      </c>
      <c r="U193" s="54">
        <f t="shared" si="16"/>
        <v>74373.31</v>
      </c>
      <c r="V193" s="10">
        <v>0.90000001210111547</v>
      </c>
      <c r="W193" s="11" t="s">
        <v>180</v>
      </c>
      <c r="X193" s="9">
        <v>-29654401.890000001</v>
      </c>
      <c r="Y193" s="9">
        <f t="shared" si="17"/>
        <v>-29654.401890000001</v>
      </c>
      <c r="Z193" s="10">
        <f>X193/T193</f>
        <v>-0.39872370733533308</v>
      </c>
      <c r="AA193" s="11" t="s">
        <v>292</v>
      </c>
      <c r="AB193" s="66" t="s">
        <v>193</v>
      </c>
      <c r="AC193" s="11" t="str">
        <f t="shared" si="19"/>
        <v>EQUATORIAL</v>
      </c>
      <c r="AD193" s="11" t="s">
        <v>6</v>
      </c>
      <c r="AE193" s="10">
        <f>SUM(I193+I195+I196+I194+I197+I198+I199)/T193-100%+Z193</f>
        <v>-0.69025608420547635</v>
      </c>
      <c r="AF193" s="9">
        <v>-29654401.890000001</v>
      </c>
      <c r="AG193" s="9">
        <f>AF193/1000</f>
        <v>-29654.401890000001</v>
      </c>
      <c r="AH193" s="9">
        <f>AE193*T193</f>
        <v>-51336629.729999997</v>
      </c>
      <c r="AI193" s="9">
        <f>AH193/1000</f>
        <v>-51336.629729999993</v>
      </c>
      <c r="AJ193" s="9">
        <f>AK193*1000</f>
        <v>74426060</v>
      </c>
      <c r="AK193" s="9">
        <v>74426.06</v>
      </c>
      <c r="AL193" s="9">
        <v>0.90010000000000001</v>
      </c>
      <c r="AM193" s="9">
        <f>AN193*1000</f>
        <v>8210950.0000000009</v>
      </c>
      <c r="AN193" s="9">
        <v>8210.9500000000007</v>
      </c>
      <c r="AO193" s="9">
        <v>9.9000000000000005E-2</v>
      </c>
      <c r="AP193" s="98" t="s">
        <v>319</v>
      </c>
      <c r="AQ193" s="100">
        <v>0.42520000000000002</v>
      </c>
    </row>
    <row r="194" spans="1:43" hidden="1">
      <c r="A194" s="103">
        <v>43282</v>
      </c>
      <c r="B194" s="47" t="s">
        <v>187</v>
      </c>
      <c r="C194" s="2" t="s">
        <v>188</v>
      </c>
      <c r="D194" s="2" t="s">
        <v>307</v>
      </c>
      <c r="E194" s="4" t="s">
        <v>308</v>
      </c>
      <c r="F194" s="4" t="s">
        <v>173</v>
      </c>
      <c r="G194" s="5">
        <v>43282</v>
      </c>
      <c r="H194" s="31">
        <v>13418596.039999999</v>
      </c>
      <c r="I194" s="31">
        <v>13418596.039999999</v>
      </c>
      <c r="J194" s="52">
        <f t="shared" si="20"/>
        <v>13418.596039999999</v>
      </c>
      <c r="K194" s="6" t="s">
        <v>174</v>
      </c>
      <c r="L194" s="7" t="s">
        <v>175</v>
      </c>
      <c r="M194" s="34" t="s">
        <v>48</v>
      </c>
      <c r="N194" s="7" t="s">
        <v>191</v>
      </c>
      <c r="O194" s="7" t="s">
        <v>284</v>
      </c>
      <c r="P194" s="7" t="s">
        <v>192</v>
      </c>
      <c r="Q194" s="8" t="s">
        <v>179</v>
      </c>
      <c r="R194" s="9">
        <v>0</v>
      </c>
      <c r="S194" s="54">
        <f t="shared" ref="S194:S257" si="21">R194/1000</f>
        <v>0</v>
      </c>
      <c r="T194" s="9">
        <v>0</v>
      </c>
      <c r="U194" s="54">
        <f t="shared" ref="U194:U257" si="22">T194/1000</f>
        <v>0</v>
      </c>
      <c r="V194" s="11">
        <v>0</v>
      </c>
      <c r="W194" s="11" t="s">
        <v>180</v>
      </c>
      <c r="X194" s="9">
        <v>0</v>
      </c>
      <c r="Y194" s="9">
        <f t="shared" ref="Y194:Y257" si="23">X194/1000</f>
        <v>0</v>
      </c>
      <c r="Z194" s="11">
        <v>0</v>
      </c>
      <c r="AA194" s="11" t="s">
        <v>292</v>
      </c>
      <c r="AB194" s="66" t="s">
        <v>193</v>
      </c>
      <c r="AC194" s="11" t="str">
        <f t="shared" si="19"/>
        <v>EQUATORIAL</v>
      </c>
      <c r="AD194" s="11" t="s">
        <v>6</v>
      </c>
      <c r="AE194" s="10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97" t="s">
        <v>184</v>
      </c>
      <c r="AQ194" s="100">
        <v>0</v>
      </c>
    </row>
    <row r="195" spans="1:43" hidden="1">
      <c r="A195" s="103">
        <v>43282</v>
      </c>
      <c r="B195" s="47" t="s">
        <v>187</v>
      </c>
      <c r="C195" s="2" t="s">
        <v>188</v>
      </c>
      <c r="D195" s="2" t="s">
        <v>307</v>
      </c>
      <c r="E195" s="4" t="s">
        <v>308</v>
      </c>
      <c r="F195" s="4" t="s">
        <v>173</v>
      </c>
      <c r="G195" s="5">
        <v>43282</v>
      </c>
      <c r="H195" s="31">
        <v>1146801.1100000001</v>
      </c>
      <c r="I195" s="31">
        <v>1146801.1100000001</v>
      </c>
      <c r="J195" s="52">
        <f t="shared" si="20"/>
        <v>1146.8011100000001</v>
      </c>
      <c r="K195" s="6" t="s">
        <v>174</v>
      </c>
      <c r="L195" s="7" t="s">
        <v>175</v>
      </c>
      <c r="M195" s="34" t="s">
        <v>48</v>
      </c>
      <c r="N195" s="7" t="s">
        <v>191</v>
      </c>
      <c r="O195" s="7" t="s">
        <v>284</v>
      </c>
      <c r="P195" s="7" t="s">
        <v>192</v>
      </c>
      <c r="Q195" s="8" t="s">
        <v>179</v>
      </c>
      <c r="R195" s="9">
        <v>0</v>
      </c>
      <c r="S195" s="54">
        <f t="shared" si="21"/>
        <v>0</v>
      </c>
      <c r="T195" s="9">
        <v>0</v>
      </c>
      <c r="U195" s="54">
        <f t="shared" si="22"/>
        <v>0</v>
      </c>
      <c r="V195" s="11">
        <v>0</v>
      </c>
      <c r="W195" s="11" t="s">
        <v>180</v>
      </c>
      <c r="X195" s="9">
        <v>0</v>
      </c>
      <c r="Y195" s="9">
        <f t="shared" si="23"/>
        <v>0</v>
      </c>
      <c r="Z195" s="11">
        <v>0</v>
      </c>
      <c r="AA195" s="11" t="s">
        <v>292</v>
      </c>
      <c r="AB195" s="66" t="s">
        <v>193</v>
      </c>
      <c r="AC195" s="11" t="str">
        <f t="shared" si="19"/>
        <v>EQUATORIAL</v>
      </c>
      <c r="AD195" s="11" t="s">
        <v>6</v>
      </c>
      <c r="AE195" s="10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7" t="s">
        <v>184</v>
      </c>
      <c r="AQ195" s="100">
        <v>0</v>
      </c>
    </row>
    <row r="196" spans="1:43" hidden="1">
      <c r="A196" s="103">
        <v>43252</v>
      </c>
      <c r="B196" s="47" t="s">
        <v>187</v>
      </c>
      <c r="C196" s="2" t="s">
        <v>188</v>
      </c>
      <c r="D196" s="2" t="s">
        <v>228</v>
      </c>
      <c r="E196" s="3" t="s">
        <v>186</v>
      </c>
      <c r="F196" s="4" t="s">
        <v>173</v>
      </c>
      <c r="G196" s="5">
        <v>43252</v>
      </c>
      <c r="H196" s="31">
        <v>826372.8</v>
      </c>
      <c r="I196" s="31">
        <v>826372.8</v>
      </c>
      <c r="J196" s="52">
        <f t="shared" si="20"/>
        <v>826.3728000000001</v>
      </c>
      <c r="K196" s="6" t="s">
        <v>174</v>
      </c>
      <c r="L196" s="7" t="s">
        <v>175</v>
      </c>
      <c r="M196" s="34" t="s">
        <v>48</v>
      </c>
      <c r="N196" s="7" t="s">
        <v>191</v>
      </c>
      <c r="O196" s="7" t="s">
        <v>284</v>
      </c>
      <c r="P196" s="7" t="s">
        <v>192</v>
      </c>
      <c r="Q196" s="8" t="s">
        <v>179</v>
      </c>
      <c r="R196" s="9">
        <v>0</v>
      </c>
      <c r="S196" s="54">
        <f t="shared" si="21"/>
        <v>0</v>
      </c>
      <c r="T196" s="9">
        <v>0</v>
      </c>
      <c r="U196" s="54">
        <f t="shared" si="22"/>
        <v>0</v>
      </c>
      <c r="V196" s="10">
        <v>0</v>
      </c>
      <c r="W196" s="11" t="s">
        <v>180</v>
      </c>
      <c r="X196" s="9">
        <v>0</v>
      </c>
      <c r="Y196" s="9">
        <f t="shared" si="23"/>
        <v>0</v>
      </c>
      <c r="Z196" s="11">
        <v>0</v>
      </c>
      <c r="AA196" s="11" t="s">
        <v>292</v>
      </c>
      <c r="AB196" s="66" t="s">
        <v>193</v>
      </c>
      <c r="AC196" s="11" t="str">
        <f t="shared" si="19"/>
        <v>EQUATORIAL</v>
      </c>
      <c r="AD196" s="11" t="s">
        <v>6</v>
      </c>
      <c r="AE196" s="10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7" t="s">
        <v>184</v>
      </c>
      <c r="AQ196" s="100">
        <v>0</v>
      </c>
    </row>
    <row r="197" spans="1:43" hidden="1">
      <c r="A197" s="103">
        <v>43374</v>
      </c>
      <c r="B197" s="47" t="s">
        <v>187</v>
      </c>
      <c r="C197" s="2" t="s">
        <v>188</v>
      </c>
      <c r="D197" s="2" t="s">
        <v>307</v>
      </c>
      <c r="E197" s="4" t="s">
        <v>308</v>
      </c>
      <c r="F197" s="4" t="s">
        <v>173</v>
      </c>
      <c r="G197" s="5">
        <v>43374</v>
      </c>
      <c r="H197" s="31">
        <v>8067096.1600000001</v>
      </c>
      <c r="I197" s="31">
        <v>8067096.1600000001</v>
      </c>
      <c r="J197" s="52">
        <f t="shared" si="20"/>
        <v>8067.0961600000001</v>
      </c>
      <c r="K197" s="6" t="s">
        <v>174</v>
      </c>
      <c r="L197" s="7" t="s">
        <v>175</v>
      </c>
      <c r="M197" s="34" t="s">
        <v>48</v>
      </c>
      <c r="N197" s="7" t="s">
        <v>191</v>
      </c>
      <c r="O197" s="7" t="s">
        <v>287</v>
      </c>
      <c r="P197" s="7" t="s">
        <v>192</v>
      </c>
      <c r="Q197" s="8" t="s">
        <v>179</v>
      </c>
      <c r="R197" s="9">
        <v>0</v>
      </c>
      <c r="S197" s="54">
        <f t="shared" si="21"/>
        <v>0</v>
      </c>
      <c r="T197" s="9">
        <v>0</v>
      </c>
      <c r="U197" s="54">
        <f t="shared" si="22"/>
        <v>0</v>
      </c>
      <c r="V197" s="11">
        <v>0</v>
      </c>
      <c r="W197" s="11" t="s">
        <v>180</v>
      </c>
      <c r="X197" s="9">
        <v>0</v>
      </c>
      <c r="Y197" s="9">
        <f t="shared" si="23"/>
        <v>0</v>
      </c>
      <c r="Z197" s="11">
        <v>0</v>
      </c>
      <c r="AA197" s="11" t="s">
        <v>292</v>
      </c>
      <c r="AB197" s="66" t="s">
        <v>193</v>
      </c>
      <c r="AC197" s="11" t="str">
        <f t="shared" si="19"/>
        <v>EQUATORIAL</v>
      </c>
      <c r="AD197" s="11" t="s">
        <v>6</v>
      </c>
      <c r="AE197" s="10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97" t="s">
        <v>184</v>
      </c>
      <c r="AQ197" s="100">
        <v>0</v>
      </c>
    </row>
    <row r="198" spans="1:43" hidden="1">
      <c r="A198" s="103">
        <v>44531</v>
      </c>
      <c r="B198" s="47" t="s">
        <v>187</v>
      </c>
      <c r="C198" s="2" t="s">
        <v>188</v>
      </c>
      <c r="D198" s="2" t="s">
        <v>307</v>
      </c>
      <c r="E198" s="4" t="s">
        <v>308</v>
      </c>
      <c r="F198" s="4" t="s">
        <v>173</v>
      </c>
      <c r="G198" s="5">
        <v>44531</v>
      </c>
      <c r="H198" s="31">
        <v>7437355</v>
      </c>
      <c r="I198" s="31">
        <v>7437355</v>
      </c>
      <c r="J198" s="52">
        <f t="shared" si="20"/>
        <v>7437.3549999999996</v>
      </c>
      <c r="K198" s="12">
        <v>44547</v>
      </c>
      <c r="L198" s="7" t="s">
        <v>175</v>
      </c>
      <c r="M198" s="34" t="s">
        <v>48</v>
      </c>
      <c r="N198" s="7" t="s">
        <v>191</v>
      </c>
      <c r="O198" s="7" t="s">
        <v>287</v>
      </c>
      <c r="P198" s="7" t="s">
        <v>192</v>
      </c>
      <c r="Q198" s="8" t="s">
        <v>179</v>
      </c>
      <c r="R198" s="9">
        <v>0</v>
      </c>
      <c r="S198" s="54">
        <f t="shared" si="21"/>
        <v>0</v>
      </c>
      <c r="T198" s="9">
        <v>0</v>
      </c>
      <c r="U198" s="54">
        <f t="shared" si="22"/>
        <v>0</v>
      </c>
      <c r="V198" s="11">
        <v>0</v>
      </c>
      <c r="W198" s="11" t="s">
        <v>180</v>
      </c>
      <c r="X198" s="9">
        <v>0</v>
      </c>
      <c r="Y198" s="9">
        <f t="shared" si="23"/>
        <v>0</v>
      </c>
      <c r="Z198" s="11">
        <v>0</v>
      </c>
      <c r="AA198" s="11" t="s">
        <v>292</v>
      </c>
      <c r="AB198" s="66" t="s">
        <v>193</v>
      </c>
      <c r="AC198" s="11" t="str">
        <f t="shared" si="19"/>
        <v>EQUATORIAL</v>
      </c>
      <c r="AD198" s="11" t="s">
        <v>6</v>
      </c>
      <c r="AE198" s="10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7" t="s">
        <v>184</v>
      </c>
      <c r="AQ198" s="100">
        <v>0</v>
      </c>
    </row>
    <row r="199" spans="1:43" hidden="1">
      <c r="A199" s="103">
        <v>45292</v>
      </c>
      <c r="B199" s="47" t="s">
        <v>187</v>
      </c>
      <c r="C199" s="2" t="s">
        <v>188</v>
      </c>
      <c r="D199" s="2" t="s">
        <v>307</v>
      </c>
      <c r="E199" s="4" t="s">
        <v>308</v>
      </c>
      <c r="F199" s="4" t="s">
        <v>173</v>
      </c>
      <c r="G199" s="5">
        <v>45293</v>
      </c>
      <c r="H199" s="31">
        <v>14874566</v>
      </c>
      <c r="I199" s="31">
        <v>14874566</v>
      </c>
      <c r="J199" s="52">
        <f t="shared" si="20"/>
        <v>14874.566000000001</v>
      </c>
      <c r="K199" s="12">
        <v>45310</v>
      </c>
      <c r="L199" s="7" t="s">
        <v>175</v>
      </c>
      <c r="M199" s="34" t="s">
        <v>48</v>
      </c>
      <c r="N199" s="7" t="s">
        <v>191</v>
      </c>
      <c r="O199" s="7" t="s">
        <v>296</v>
      </c>
      <c r="P199" s="7" t="s">
        <v>192</v>
      </c>
      <c r="Q199" s="8" t="s">
        <v>179</v>
      </c>
      <c r="R199" s="9">
        <v>0</v>
      </c>
      <c r="S199" s="54">
        <f t="shared" si="21"/>
        <v>0</v>
      </c>
      <c r="T199" s="9">
        <v>0</v>
      </c>
      <c r="U199" s="54">
        <f t="shared" si="22"/>
        <v>0</v>
      </c>
      <c r="V199" s="11">
        <v>0</v>
      </c>
      <c r="W199" s="11" t="s">
        <v>180</v>
      </c>
      <c r="X199" s="9">
        <v>0</v>
      </c>
      <c r="Y199" s="9">
        <f t="shared" si="23"/>
        <v>0</v>
      </c>
      <c r="Z199" s="11">
        <v>0</v>
      </c>
      <c r="AA199" s="11" t="s">
        <v>292</v>
      </c>
      <c r="AB199" s="66" t="s">
        <v>193</v>
      </c>
      <c r="AC199" s="11" t="str">
        <f t="shared" si="19"/>
        <v>EQUATORIAL</v>
      </c>
      <c r="AD199" s="11" t="s">
        <v>6</v>
      </c>
      <c r="AE199" s="10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7" t="s">
        <v>184</v>
      </c>
      <c r="AQ199" s="100">
        <v>0</v>
      </c>
    </row>
    <row r="200" spans="1:43" hidden="1">
      <c r="A200" s="103">
        <v>43221</v>
      </c>
      <c r="B200" s="47" t="s">
        <v>187</v>
      </c>
      <c r="C200" s="2" t="s">
        <v>211</v>
      </c>
      <c r="D200" s="2" t="s">
        <v>228</v>
      </c>
      <c r="E200" s="3" t="s">
        <v>186</v>
      </c>
      <c r="F200" s="4" t="s">
        <v>173</v>
      </c>
      <c r="G200" s="5">
        <v>43221</v>
      </c>
      <c r="H200" s="31">
        <v>342362</v>
      </c>
      <c r="I200" s="31">
        <v>342362</v>
      </c>
      <c r="J200" s="52">
        <f t="shared" si="20"/>
        <v>342.36200000000002</v>
      </c>
      <c r="K200" s="6" t="s">
        <v>174</v>
      </c>
      <c r="L200" s="7" t="s">
        <v>175</v>
      </c>
      <c r="M200" s="34" t="s">
        <v>99</v>
      </c>
      <c r="N200" s="7" t="s">
        <v>176</v>
      </c>
      <c r="O200" s="7" t="s">
        <v>284</v>
      </c>
      <c r="P200" s="7" t="s">
        <v>214</v>
      </c>
      <c r="Q200" s="8" t="s">
        <v>179</v>
      </c>
      <c r="R200" s="9">
        <v>35403180</v>
      </c>
      <c r="S200" s="54">
        <f t="shared" si="21"/>
        <v>35403.18</v>
      </c>
      <c r="T200" s="9">
        <v>31862860</v>
      </c>
      <c r="U200" s="54">
        <f t="shared" si="22"/>
        <v>31862.86</v>
      </c>
      <c r="V200" s="10">
        <v>0.89999994350789958</v>
      </c>
      <c r="W200" s="11" t="s">
        <v>180</v>
      </c>
      <c r="X200" s="9">
        <v>0</v>
      </c>
      <c r="Y200" s="9">
        <f t="shared" si="23"/>
        <v>0</v>
      </c>
      <c r="Z200" s="11">
        <v>0</v>
      </c>
      <c r="AA200" s="11" t="s">
        <v>282</v>
      </c>
      <c r="AB200" s="66" t="s">
        <v>181</v>
      </c>
      <c r="AC200" s="11" t="str">
        <f t="shared" si="19"/>
        <v>EQUATORIAL</v>
      </c>
      <c r="AD200" s="11" t="s">
        <v>183</v>
      </c>
      <c r="AE200" s="10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7" t="s">
        <v>184</v>
      </c>
      <c r="AQ200" s="100">
        <v>0</v>
      </c>
    </row>
    <row r="201" spans="1:43" hidden="1">
      <c r="A201" s="103">
        <v>43221</v>
      </c>
      <c r="B201" s="47" t="s">
        <v>187</v>
      </c>
      <c r="C201" s="2" t="s">
        <v>211</v>
      </c>
      <c r="D201" s="2" t="s">
        <v>212</v>
      </c>
      <c r="E201" s="3" t="s">
        <v>213</v>
      </c>
      <c r="F201" s="4" t="s">
        <v>173</v>
      </c>
      <c r="G201" s="5">
        <v>43221</v>
      </c>
      <c r="H201" s="31">
        <v>8901412</v>
      </c>
      <c r="I201" s="31">
        <v>8901412</v>
      </c>
      <c r="J201" s="52">
        <f t="shared" si="20"/>
        <v>8901.4120000000003</v>
      </c>
      <c r="K201" s="6" t="s">
        <v>174</v>
      </c>
      <c r="L201" s="7" t="s">
        <v>175</v>
      </c>
      <c r="M201" s="34" t="s">
        <v>99</v>
      </c>
      <c r="N201" s="7" t="s">
        <v>176</v>
      </c>
      <c r="O201" s="7" t="s">
        <v>284</v>
      </c>
      <c r="P201" s="7" t="s">
        <v>214</v>
      </c>
      <c r="Q201" s="8" t="s">
        <v>179</v>
      </c>
      <c r="R201" s="9">
        <v>0</v>
      </c>
      <c r="S201" s="54">
        <f t="shared" si="21"/>
        <v>0</v>
      </c>
      <c r="T201" s="9">
        <v>0</v>
      </c>
      <c r="U201" s="54">
        <f t="shared" si="22"/>
        <v>0</v>
      </c>
      <c r="V201" s="11">
        <v>0</v>
      </c>
      <c r="W201" s="11" t="s">
        <v>180</v>
      </c>
      <c r="X201" s="9">
        <v>0</v>
      </c>
      <c r="Y201" s="9">
        <f t="shared" si="23"/>
        <v>0</v>
      </c>
      <c r="Z201" s="11">
        <v>0</v>
      </c>
      <c r="AA201" s="11" t="s">
        <v>282</v>
      </c>
      <c r="AB201" s="66" t="s">
        <v>181</v>
      </c>
      <c r="AC201" s="11" t="str">
        <f t="shared" si="19"/>
        <v>EQUATORIAL</v>
      </c>
      <c r="AD201" s="11" t="s">
        <v>183</v>
      </c>
      <c r="AE201" s="10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97" t="s">
        <v>184</v>
      </c>
      <c r="AQ201" s="100">
        <v>0</v>
      </c>
    </row>
    <row r="202" spans="1:43" hidden="1">
      <c r="A202" s="103">
        <v>43831</v>
      </c>
      <c r="B202" s="47" t="s">
        <v>187</v>
      </c>
      <c r="C202" s="2" t="s">
        <v>211</v>
      </c>
      <c r="D202" s="2" t="s">
        <v>212</v>
      </c>
      <c r="E202" s="4" t="s">
        <v>213</v>
      </c>
      <c r="F202" s="4" t="s">
        <v>173</v>
      </c>
      <c r="G202" s="5">
        <v>43831</v>
      </c>
      <c r="H202" s="92">
        <v>8901412</v>
      </c>
      <c r="I202" s="92">
        <v>8901412</v>
      </c>
      <c r="J202" s="52">
        <f t="shared" si="20"/>
        <v>8901.4120000000003</v>
      </c>
      <c r="K202" s="6" t="s">
        <v>174</v>
      </c>
      <c r="L202" s="7" t="s">
        <v>175</v>
      </c>
      <c r="M202" s="34" t="s">
        <v>99</v>
      </c>
      <c r="N202" s="7" t="s">
        <v>176</v>
      </c>
      <c r="O202" s="84" t="s">
        <v>287</v>
      </c>
      <c r="P202" s="7" t="s">
        <v>214</v>
      </c>
      <c r="Q202" s="8" t="s">
        <v>179</v>
      </c>
      <c r="R202" s="9">
        <v>0</v>
      </c>
      <c r="S202" s="54">
        <f t="shared" si="21"/>
        <v>0</v>
      </c>
      <c r="T202" s="9">
        <v>0</v>
      </c>
      <c r="U202" s="54">
        <f t="shared" si="22"/>
        <v>0</v>
      </c>
      <c r="V202" s="11">
        <v>0</v>
      </c>
      <c r="W202" s="11" t="s">
        <v>180</v>
      </c>
      <c r="X202" s="9">
        <v>0</v>
      </c>
      <c r="Y202" s="9">
        <f t="shared" si="23"/>
        <v>0</v>
      </c>
      <c r="Z202" s="11">
        <v>0</v>
      </c>
      <c r="AA202" s="11" t="s">
        <v>282</v>
      </c>
      <c r="AB202" s="66" t="s">
        <v>181</v>
      </c>
      <c r="AC202" s="11" t="str">
        <f t="shared" si="19"/>
        <v>EQUATORIAL</v>
      </c>
      <c r="AD202" s="11" t="s">
        <v>183</v>
      </c>
      <c r="AE202" s="10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7" t="s">
        <v>184</v>
      </c>
      <c r="AQ202" s="100">
        <v>0</v>
      </c>
    </row>
    <row r="203" spans="1:43" hidden="1">
      <c r="A203" s="103">
        <v>43831</v>
      </c>
      <c r="B203" s="47" t="s">
        <v>187</v>
      </c>
      <c r="C203" s="2" t="s">
        <v>211</v>
      </c>
      <c r="D203" s="2" t="s">
        <v>212</v>
      </c>
      <c r="E203" s="4" t="s">
        <v>213</v>
      </c>
      <c r="F203" s="4" t="s">
        <v>173</v>
      </c>
      <c r="G203" s="5">
        <v>43831</v>
      </c>
      <c r="H203" s="93">
        <v>5108152</v>
      </c>
      <c r="I203" s="93">
        <v>5108152</v>
      </c>
      <c r="J203" s="52">
        <f t="shared" si="20"/>
        <v>5108.152</v>
      </c>
      <c r="K203" s="6" t="s">
        <v>174</v>
      </c>
      <c r="L203" s="7" t="s">
        <v>175</v>
      </c>
      <c r="M203" s="34" t="s">
        <v>99</v>
      </c>
      <c r="N203" s="7" t="s">
        <v>176</v>
      </c>
      <c r="O203" s="84" t="s">
        <v>296</v>
      </c>
      <c r="P203" s="7" t="s">
        <v>214</v>
      </c>
      <c r="Q203" s="8" t="s">
        <v>179</v>
      </c>
      <c r="R203" s="9">
        <v>0</v>
      </c>
      <c r="S203" s="54">
        <f t="shared" si="21"/>
        <v>0</v>
      </c>
      <c r="T203" s="9">
        <v>0</v>
      </c>
      <c r="U203" s="54">
        <f t="shared" si="22"/>
        <v>0</v>
      </c>
      <c r="V203" s="11">
        <v>0</v>
      </c>
      <c r="W203" s="11" t="s">
        <v>180</v>
      </c>
      <c r="X203" s="9">
        <v>0</v>
      </c>
      <c r="Y203" s="9">
        <f t="shared" si="23"/>
        <v>0</v>
      </c>
      <c r="Z203" s="11">
        <v>0</v>
      </c>
      <c r="AA203" s="11" t="s">
        <v>282</v>
      </c>
      <c r="AB203" s="66" t="s">
        <v>181</v>
      </c>
      <c r="AC203" s="11" t="str">
        <f t="shared" si="19"/>
        <v>EQUATORIAL</v>
      </c>
      <c r="AD203" s="11" t="s">
        <v>183</v>
      </c>
      <c r="AE203" s="10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7" t="s">
        <v>184</v>
      </c>
      <c r="AQ203" s="100">
        <v>0</v>
      </c>
    </row>
    <row r="204" spans="1:43" hidden="1">
      <c r="A204" s="103">
        <v>43831</v>
      </c>
      <c r="B204" s="47" t="s">
        <v>187</v>
      </c>
      <c r="C204" s="2" t="s">
        <v>211</v>
      </c>
      <c r="D204" s="2" t="s">
        <v>212</v>
      </c>
      <c r="E204" s="4" t="s">
        <v>213</v>
      </c>
      <c r="F204" s="4" t="s">
        <v>173</v>
      </c>
      <c r="G204" s="5">
        <v>43831</v>
      </c>
      <c r="H204" s="93">
        <v>2554076</v>
      </c>
      <c r="I204" s="93">
        <v>2554076</v>
      </c>
      <c r="J204" s="52">
        <f t="shared" si="20"/>
        <v>2554.076</v>
      </c>
      <c r="K204" s="6" t="s">
        <v>174</v>
      </c>
      <c r="L204" s="7" t="s">
        <v>175</v>
      </c>
      <c r="M204" s="34" t="s">
        <v>99</v>
      </c>
      <c r="N204" s="7" t="s">
        <v>176</v>
      </c>
      <c r="O204" s="84" t="s">
        <v>289</v>
      </c>
      <c r="P204" s="7" t="s">
        <v>214</v>
      </c>
      <c r="Q204" s="8" t="s">
        <v>179</v>
      </c>
      <c r="R204" s="9">
        <v>0</v>
      </c>
      <c r="S204" s="54">
        <f t="shared" si="21"/>
        <v>0</v>
      </c>
      <c r="T204" s="9">
        <v>0</v>
      </c>
      <c r="U204" s="54">
        <f t="shared" si="22"/>
        <v>0</v>
      </c>
      <c r="V204" s="11">
        <v>0</v>
      </c>
      <c r="W204" s="11" t="s">
        <v>180</v>
      </c>
      <c r="X204" s="9">
        <v>0</v>
      </c>
      <c r="Y204" s="9">
        <f t="shared" si="23"/>
        <v>0</v>
      </c>
      <c r="Z204" s="11">
        <v>0</v>
      </c>
      <c r="AA204" s="11" t="s">
        <v>282</v>
      </c>
      <c r="AB204" s="66" t="s">
        <v>181</v>
      </c>
      <c r="AC204" s="11" t="str">
        <f t="shared" si="19"/>
        <v>EQUATORIAL</v>
      </c>
      <c r="AD204" s="11" t="s">
        <v>183</v>
      </c>
      <c r="AE204" s="10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7" t="s">
        <v>184</v>
      </c>
      <c r="AQ204" s="100">
        <v>0</v>
      </c>
    </row>
    <row r="205" spans="1:43" hidden="1">
      <c r="A205" s="103">
        <v>45444</v>
      </c>
      <c r="B205" s="47" t="s">
        <v>187</v>
      </c>
      <c r="C205" s="2" t="s">
        <v>211</v>
      </c>
      <c r="D205" s="2" t="s">
        <v>212</v>
      </c>
      <c r="E205" s="4" t="s">
        <v>213</v>
      </c>
      <c r="F205" s="4" t="s">
        <v>173</v>
      </c>
      <c r="G205" s="5">
        <v>45444</v>
      </c>
      <c r="H205" s="31">
        <v>2880044.23</v>
      </c>
      <c r="I205" s="31">
        <v>2880044.23</v>
      </c>
      <c r="J205" s="52">
        <f t="shared" si="20"/>
        <v>2880.04423</v>
      </c>
      <c r="K205" s="12">
        <v>45499</v>
      </c>
      <c r="L205" s="7" t="s">
        <v>175</v>
      </c>
      <c r="M205" s="34" t="s">
        <v>99</v>
      </c>
      <c r="N205" s="7" t="s">
        <v>176</v>
      </c>
      <c r="O205" s="7" t="s">
        <v>177</v>
      </c>
      <c r="P205" s="7" t="s">
        <v>214</v>
      </c>
      <c r="Q205" s="8" t="s">
        <v>179</v>
      </c>
      <c r="R205" s="9">
        <v>0</v>
      </c>
      <c r="S205" s="54">
        <f t="shared" si="21"/>
        <v>0</v>
      </c>
      <c r="T205" s="9">
        <v>0</v>
      </c>
      <c r="U205" s="54">
        <f t="shared" si="22"/>
        <v>0</v>
      </c>
      <c r="V205" s="11">
        <v>0</v>
      </c>
      <c r="W205" s="11" t="s">
        <v>180</v>
      </c>
      <c r="X205" s="9">
        <v>0</v>
      </c>
      <c r="Y205" s="9">
        <f t="shared" si="23"/>
        <v>0</v>
      </c>
      <c r="Z205" s="11">
        <v>0</v>
      </c>
      <c r="AA205" s="11" t="s">
        <v>282</v>
      </c>
      <c r="AB205" s="66" t="s">
        <v>181</v>
      </c>
      <c r="AC205" s="11" t="str">
        <f t="shared" si="19"/>
        <v>EQUATORIAL</v>
      </c>
      <c r="AD205" s="11" t="s">
        <v>183</v>
      </c>
      <c r="AE205" s="10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7" t="s">
        <v>184</v>
      </c>
      <c r="AQ205" s="100">
        <v>0</v>
      </c>
    </row>
    <row r="206" spans="1:43" hidden="1">
      <c r="A206" s="103">
        <v>43313</v>
      </c>
      <c r="B206" s="47" t="s">
        <v>187</v>
      </c>
      <c r="C206" s="2" t="s">
        <v>278</v>
      </c>
      <c r="D206" s="2" t="s">
        <v>228</v>
      </c>
      <c r="E206" s="3" t="s">
        <v>186</v>
      </c>
      <c r="F206" s="4" t="s">
        <v>173</v>
      </c>
      <c r="G206" s="5">
        <v>43313</v>
      </c>
      <c r="H206" s="31">
        <v>1453223.6</v>
      </c>
      <c r="I206" s="31">
        <v>1453223.6</v>
      </c>
      <c r="J206" s="52">
        <f t="shared" si="20"/>
        <v>1453.2236</v>
      </c>
      <c r="K206" s="6" t="s">
        <v>174</v>
      </c>
      <c r="L206" s="7" t="s">
        <v>175</v>
      </c>
      <c r="M206" s="34" t="s">
        <v>100</v>
      </c>
      <c r="N206" s="7" t="s">
        <v>314</v>
      </c>
      <c r="O206" s="7" t="s">
        <v>284</v>
      </c>
      <c r="P206" s="7" t="s">
        <v>281</v>
      </c>
      <c r="Q206" s="8" t="s">
        <v>179</v>
      </c>
      <c r="R206" s="9">
        <v>145321490</v>
      </c>
      <c r="S206" s="54">
        <f t="shared" si="21"/>
        <v>145321.49</v>
      </c>
      <c r="T206" s="9">
        <v>108991120</v>
      </c>
      <c r="U206" s="54">
        <f t="shared" si="22"/>
        <v>108991.12</v>
      </c>
      <c r="V206" s="10">
        <v>0.75000001720323672</v>
      </c>
      <c r="W206" s="11" t="s">
        <v>180</v>
      </c>
      <c r="X206" s="9">
        <v>-13330011.5</v>
      </c>
      <c r="Y206" s="9">
        <f t="shared" si="23"/>
        <v>-13330.011500000001</v>
      </c>
      <c r="Z206" s="10">
        <f>X206/T206</f>
        <v>-0.12230364730631266</v>
      </c>
      <c r="AA206" s="11" t="s">
        <v>282</v>
      </c>
      <c r="AB206" s="65" t="s">
        <v>316</v>
      </c>
      <c r="AC206" s="11" t="str">
        <f t="shared" si="19"/>
        <v>EQUATORIAL</v>
      </c>
      <c r="AD206" s="11" t="s">
        <v>183</v>
      </c>
      <c r="AE206" s="10">
        <f>SUM(I206+I208+I209+I207+I210)/T206-100%+Z206</f>
        <v>-0.22229827989656409</v>
      </c>
      <c r="AF206" s="9">
        <f>X206</f>
        <v>-13330011.5</v>
      </c>
      <c r="AG206" s="9">
        <f>AF206/1000</f>
        <v>-13330.011500000001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7" t="s">
        <v>184</v>
      </c>
      <c r="AQ206" s="100">
        <v>0</v>
      </c>
    </row>
    <row r="207" spans="1:43" hidden="1">
      <c r="A207" s="103">
        <v>43313</v>
      </c>
      <c r="B207" s="47" t="s">
        <v>187</v>
      </c>
      <c r="C207" s="2" t="s">
        <v>278</v>
      </c>
      <c r="D207" s="2" t="s">
        <v>279</v>
      </c>
      <c r="E207" s="4" t="s">
        <v>280</v>
      </c>
      <c r="F207" s="4" t="s">
        <v>173</v>
      </c>
      <c r="G207" s="5">
        <v>43313</v>
      </c>
      <c r="H207" s="31">
        <v>31244307.399999999</v>
      </c>
      <c r="I207" s="31">
        <v>31244307.399999999</v>
      </c>
      <c r="J207" s="52">
        <f t="shared" si="20"/>
        <v>31244.307399999998</v>
      </c>
      <c r="K207" s="6" t="s">
        <v>174</v>
      </c>
      <c r="L207" s="7" t="s">
        <v>175</v>
      </c>
      <c r="M207" s="34" t="s">
        <v>100</v>
      </c>
      <c r="N207" s="7" t="s">
        <v>314</v>
      </c>
      <c r="O207" s="7" t="s">
        <v>284</v>
      </c>
      <c r="P207" s="7" t="s">
        <v>281</v>
      </c>
      <c r="Q207" s="8" t="s">
        <v>179</v>
      </c>
      <c r="R207" s="9">
        <v>0</v>
      </c>
      <c r="S207" s="54">
        <f t="shared" si="21"/>
        <v>0</v>
      </c>
      <c r="T207" s="9">
        <v>0</v>
      </c>
      <c r="U207" s="54">
        <f t="shared" si="22"/>
        <v>0</v>
      </c>
      <c r="V207" s="11">
        <v>0</v>
      </c>
      <c r="W207" s="11" t="s">
        <v>180</v>
      </c>
      <c r="X207" s="9">
        <v>0</v>
      </c>
      <c r="Y207" s="9">
        <f t="shared" si="23"/>
        <v>0</v>
      </c>
      <c r="Z207" s="11">
        <v>0</v>
      </c>
      <c r="AA207" s="11" t="s">
        <v>282</v>
      </c>
      <c r="AB207" s="65" t="s">
        <v>316</v>
      </c>
      <c r="AC207" s="11" t="str">
        <f t="shared" si="19"/>
        <v>EQUATORIAL</v>
      </c>
      <c r="AD207" s="11" t="s">
        <v>183</v>
      </c>
      <c r="AE207" s="10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97" t="s">
        <v>184</v>
      </c>
      <c r="AQ207" s="100">
        <v>0</v>
      </c>
    </row>
    <row r="208" spans="1:43" hidden="1">
      <c r="A208" s="103">
        <v>43344</v>
      </c>
      <c r="B208" s="47" t="s">
        <v>187</v>
      </c>
      <c r="C208" s="2" t="s">
        <v>278</v>
      </c>
      <c r="D208" s="2" t="s">
        <v>279</v>
      </c>
      <c r="E208" s="4" t="s">
        <v>280</v>
      </c>
      <c r="F208" s="4" t="s">
        <v>173</v>
      </c>
      <c r="G208" s="5">
        <v>43344</v>
      </c>
      <c r="H208" s="31">
        <v>21798354</v>
      </c>
      <c r="I208" s="31">
        <v>21798354</v>
      </c>
      <c r="J208" s="52">
        <f t="shared" si="20"/>
        <v>21798.353999999999</v>
      </c>
      <c r="K208" s="6" t="s">
        <v>174</v>
      </c>
      <c r="L208" s="7" t="s">
        <v>175</v>
      </c>
      <c r="M208" s="34" t="s">
        <v>100</v>
      </c>
      <c r="N208" s="7" t="s">
        <v>314</v>
      </c>
      <c r="O208" s="7" t="s">
        <v>287</v>
      </c>
      <c r="P208" s="7" t="s">
        <v>281</v>
      </c>
      <c r="Q208" s="8" t="s">
        <v>179</v>
      </c>
      <c r="R208" s="9">
        <v>0</v>
      </c>
      <c r="S208" s="54">
        <f t="shared" si="21"/>
        <v>0</v>
      </c>
      <c r="T208" s="9">
        <v>0</v>
      </c>
      <c r="U208" s="54">
        <f t="shared" si="22"/>
        <v>0</v>
      </c>
      <c r="V208" s="11">
        <v>0</v>
      </c>
      <c r="W208" s="11" t="s">
        <v>180</v>
      </c>
      <c r="X208" s="9">
        <v>0</v>
      </c>
      <c r="Y208" s="9">
        <f t="shared" si="23"/>
        <v>0</v>
      </c>
      <c r="Z208" s="11">
        <v>0</v>
      </c>
      <c r="AA208" s="11" t="s">
        <v>282</v>
      </c>
      <c r="AB208" s="65" t="s">
        <v>316</v>
      </c>
      <c r="AC208" s="11" t="str">
        <f t="shared" si="19"/>
        <v>EQUATORIAL</v>
      </c>
      <c r="AD208" s="11" t="s">
        <v>183</v>
      </c>
      <c r="AE208" s="10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97" t="s">
        <v>184</v>
      </c>
      <c r="AQ208" s="100">
        <v>0</v>
      </c>
    </row>
    <row r="209" spans="1:43" hidden="1">
      <c r="A209" s="103">
        <v>43405</v>
      </c>
      <c r="B209" s="47" t="s">
        <v>187</v>
      </c>
      <c r="C209" s="2" t="s">
        <v>278</v>
      </c>
      <c r="D209" s="2" t="s">
        <v>279</v>
      </c>
      <c r="E209" s="4" t="s">
        <v>280</v>
      </c>
      <c r="F209" s="4" t="s">
        <v>173</v>
      </c>
      <c r="G209" s="5">
        <v>43405</v>
      </c>
      <c r="H209" s="31">
        <v>21798354</v>
      </c>
      <c r="I209" s="31">
        <v>21798354</v>
      </c>
      <c r="J209" s="52">
        <f t="shared" si="20"/>
        <v>21798.353999999999</v>
      </c>
      <c r="K209" s="6" t="s">
        <v>174</v>
      </c>
      <c r="L209" s="7" t="s">
        <v>175</v>
      </c>
      <c r="M209" s="34" t="s">
        <v>100</v>
      </c>
      <c r="N209" s="7" t="s">
        <v>314</v>
      </c>
      <c r="O209" s="7" t="s">
        <v>296</v>
      </c>
      <c r="P209" s="7" t="s">
        <v>281</v>
      </c>
      <c r="Q209" s="8" t="s">
        <v>179</v>
      </c>
      <c r="R209" s="9">
        <v>0</v>
      </c>
      <c r="S209" s="54">
        <f t="shared" si="21"/>
        <v>0</v>
      </c>
      <c r="T209" s="9">
        <v>0</v>
      </c>
      <c r="U209" s="54">
        <f t="shared" si="22"/>
        <v>0</v>
      </c>
      <c r="V209" s="11">
        <v>0</v>
      </c>
      <c r="W209" s="11" t="s">
        <v>180</v>
      </c>
      <c r="X209" s="9">
        <v>0</v>
      </c>
      <c r="Y209" s="9">
        <f t="shared" si="23"/>
        <v>0</v>
      </c>
      <c r="Z209" s="11">
        <v>0</v>
      </c>
      <c r="AA209" s="11" t="s">
        <v>282</v>
      </c>
      <c r="AB209" s="65" t="s">
        <v>316</v>
      </c>
      <c r="AC209" s="11" t="str">
        <f t="shared" si="19"/>
        <v>EQUATORIAL</v>
      </c>
      <c r="AD209" s="11" t="s">
        <v>183</v>
      </c>
      <c r="AE209" s="10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97" t="s">
        <v>184</v>
      </c>
      <c r="AQ209" s="100">
        <v>0</v>
      </c>
    </row>
    <row r="210" spans="1:43" hidden="1">
      <c r="A210" s="103">
        <v>43435</v>
      </c>
      <c r="B210" s="47" t="s">
        <v>187</v>
      </c>
      <c r="C210" s="2" t="s">
        <v>278</v>
      </c>
      <c r="D210" s="2" t="s">
        <v>279</v>
      </c>
      <c r="E210" s="4" t="s">
        <v>280</v>
      </c>
      <c r="F210" s="4" t="s">
        <v>173</v>
      </c>
      <c r="G210" s="5">
        <v>43435</v>
      </c>
      <c r="H210" s="31">
        <v>21798354</v>
      </c>
      <c r="I210" s="31">
        <v>21798354</v>
      </c>
      <c r="J210" s="52">
        <f t="shared" ref="J210:J241" si="24">I210/1000</f>
        <v>21798.353999999999</v>
      </c>
      <c r="K210" s="6" t="s">
        <v>174</v>
      </c>
      <c r="L210" s="7" t="s">
        <v>175</v>
      </c>
      <c r="M210" s="34" t="s">
        <v>100</v>
      </c>
      <c r="N210" s="7" t="s">
        <v>314</v>
      </c>
      <c r="O210" s="7" t="s">
        <v>289</v>
      </c>
      <c r="P210" s="7" t="s">
        <v>281</v>
      </c>
      <c r="Q210" s="8" t="s">
        <v>179</v>
      </c>
      <c r="R210" s="9">
        <v>0</v>
      </c>
      <c r="S210" s="54">
        <f t="shared" si="21"/>
        <v>0</v>
      </c>
      <c r="T210" s="9">
        <v>0</v>
      </c>
      <c r="U210" s="54">
        <f t="shared" si="22"/>
        <v>0</v>
      </c>
      <c r="V210" s="11">
        <v>0</v>
      </c>
      <c r="W210" s="11" t="s">
        <v>180</v>
      </c>
      <c r="X210" s="9">
        <v>0</v>
      </c>
      <c r="Y210" s="9">
        <f t="shared" si="23"/>
        <v>0</v>
      </c>
      <c r="Z210" s="11">
        <v>0</v>
      </c>
      <c r="AA210" s="11" t="s">
        <v>282</v>
      </c>
      <c r="AB210" s="65" t="s">
        <v>316</v>
      </c>
      <c r="AC210" s="11" t="str">
        <f t="shared" si="19"/>
        <v>EQUATORIAL</v>
      </c>
      <c r="AD210" s="11" t="s">
        <v>183</v>
      </c>
      <c r="AE210" s="10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97" t="s">
        <v>184</v>
      </c>
      <c r="AQ210" s="100">
        <v>0</v>
      </c>
    </row>
    <row r="211" spans="1:43" hidden="1">
      <c r="A211" s="103">
        <v>43709</v>
      </c>
      <c r="B211" s="47" t="s">
        <v>187</v>
      </c>
      <c r="C211" s="2" t="s">
        <v>278</v>
      </c>
      <c r="D211" s="2" t="s">
        <v>228</v>
      </c>
      <c r="E211" s="3" t="s">
        <v>186</v>
      </c>
      <c r="F211" s="4" t="s">
        <v>173</v>
      </c>
      <c r="G211" s="5">
        <v>43709</v>
      </c>
      <c r="H211" s="31">
        <v>2607100.7999999998</v>
      </c>
      <c r="I211" s="31">
        <v>2607100.7999999998</v>
      </c>
      <c r="J211" s="52">
        <f t="shared" si="24"/>
        <v>2607.1007999999997</v>
      </c>
      <c r="K211" s="6" t="s">
        <v>174</v>
      </c>
      <c r="L211" s="7" t="s">
        <v>175</v>
      </c>
      <c r="M211" s="34" t="s">
        <v>46</v>
      </c>
      <c r="N211" s="64" t="s">
        <v>320</v>
      </c>
      <c r="O211" s="7" t="s">
        <v>284</v>
      </c>
      <c r="P211" s="7" t="s">
        <v>281</v>
      </c>
      <c r="Q211" s="8" t="s">
        <v>179</v>
      </c>
      <c r="R211" s="9">
        <v>260709640</v>
      </c>
      <c r="S211" s="54">
        <f t="shared" si="21"/>
        <v>260709.64</v>
      </c>
      <c r="T211" s="9">
        <v>182496740</v>
      </c>
      <c r="U211" s="54">
        <f t="shared" si="22"/>
        <v>182496.74</v>
      </c>
      <c r="V211" s="10">
        <v>0.69999996931452169</v>
      </c>
      <c r="W211" s="11" t="s">
        <v>180</v>
      </c>
      <c r="X211" s="9">
        <v>-21811097.510000002</v>
      </c>
      <c r="Y211" s="9">
        <f t="shared" si="23"/>
        <v>-21811.097510000003</v>
      </c>
      <c r="Z211" s="10">
        <f>X211/T211</f>
        <v>-0.11951499796653903</v>
      </c>
      <c r="AA211" s="11" t="s">
        <v>292</v>
      </c>
      <c r="AB211" s="11" t="s">
        <v>321</v>
      </c>
      <c r="AC211" s="11" t="str">
        <f t="shared" si="19"/>
        <v>EQUATORIAL</v>
      </c>
      <c r="AD211" s="11" t="s">
        <v>6</v>
      </c>
      <c r="AE211" s="10">
        <f>SUM(I211+I213+I214+I212+I215+I216+I217)/T211-100%+Z211</f>
        <v>-0.219514997966539</v>
      </c>
      <c r="AF211" s="9">
        <v>-21811097.510000002</v>
      </c>
      <c r="AG211" s="9">
        <f>AF211/1000</f>
        <v>-21811.097510000003</v>
      </c>
      <c r="AH211" s="9">
        <f>AE211*T211</f>
        <v>-40060771.509999998</v>
      </c>
      <c r="AI211" s="9">
        <f>AH211/1000</f>
        <v>-40060.771509999999</v>
      </c>
      <c r="AJ211" s="9">
        <f>AK211*1000</f>
        <v>227156030</v>
      </c>
      <c r="AK211" s="9">
        <v>227156.03</v>
      </c>
      <c r="AL211" s="9">
        <v>0.871</v>
      </c>
      <c r="AM211" s="9">
        <f>AN211*1000</f>
        <v>33553610</v>
      </c>
      <c r="AN211" s="9">
        <v>33553.61</v>
      </c>
      <c r="AO211" s="9">
        <v>0.129</v>
      </c>
      <c r="AP211" s="97" t="s">
        <v>322</v>
      </c>
      <c r="AQ211" s="100">
        <v>0.91739999999999999</v>
      </c>
    </row>
    <row r="212" spans="1:43" hidden="1">
      <c r="A212" s="103">
        <v>43709</v>
      </c>
      <c r="B212" s="47" t="s">
        <v>187</v>
      </c>
      <c r="C212" s="2" t="s">
        <v>278</v>
      </c>
      <c r="D212" s="2" t="s">
        <v>279</v>
      </c>
      <c r="E212" s="4" t="s">
        <v>280</v>
      </c>
      <c r="F212" s="4" t="s">
        <v>173</v>
      </c>
      <c r="G212" s="5">
        <v>43709</v>
      </c>
      <c r="H212" s="31">
        <v>33892311.200000003</v>
      </c>
      <c r="I212" s="31">
        <v>33892311.200000003</v>
      </c>
      <c r="J212" s="52">
        <f t="shared" si="24"/>
        <v>33892.311200000004</v>
      </c>
      <c r="K212" s="6" t="s">
        <v>174</v>
      </c>
      <c r="L212" s="7" t="s">
        <v>175</v>
      </c>
      <c r="M212" s="34" t="s">
        <v>46</v>
      </c>
      <c r="N212" s="7" t="s">
        <v>320</v>
      </c>
      <c r="O212" s="7" t="s">
        <v>284</v>
      </c>
      <c r="P212" s="7" t="s">
        <v>281</v>
      </c>
      <c r="Q212" s="8" t="s">
        <v>179</v>
      </c>
      <c r="R212" s="9">
        <v>0</v>
      </c>
      <c r="S212" s="54">
        <f t="shared" si="21"/>
        <v>0</v>
      </c>
      <c r="T212" s="9">
        <v>0</v>
      </c>
      <c r="U212" s="54">
        <f t="shared" si="22"/>
        <v>0</v>
      </c>
      <c r="V212" s="11">
        <v>0</v>
      </c>
      <c r="W212" s="11" t="s">
        <v>180</v>
      </c>
      <c r="X212" s="9">
        <v>0</v>
      </c>
      <c r="Y212" s="9">
        <f t="shared" si="23"/>
        <v>0</v>
      </c>
      <c r="Z212" s="11">
        <v>0</v>
      </c>
      <c r="AA212" s="11" t="s">
        <v>292</v>
      </c>
      <c r="AB212" s="11" t="s">
        <v>321</v>
      </c>
      <c r="AC212" s="11" t="str">
        <f t="shared" si="19"/>
        <v>EQUATORIAL</v>
      </c>
      <c r="AD212" s="11" t="s">
        <v>6</v>
      </c>
      <c r="AE212" s="10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7" t="s">
        <v>184</v>
      </c>
      <c r="AQ212" s="100">
        <v>0</v>
      </c>
    </row>
    <row r="213" spans="1:43" hidden="1">
      <c r="A213" s="103">
        <v>43952</v>
      </c>
      <c r="B213" s="47" t="s">
        <v>187</v>
      </c>
      <c r="C213" s="2" t="s">
        <v>278</v>
      </c>
      <c r="D213" s="2" t="s">
        <v>279</v>
      </c>
      <c r="E213" s="4" t="s">
        <v>280</v>
      </c>
      <c r="F213" s="4" t="s">
        <v>173</v>
      </c>
      <c r="G213" s="5">
        <v>43952</v>
      </c>
      <c r="H213" s="31">
        <v>36499412</v>
      </c>
      <c r="I213" s="31">
        <v>36499412</v>
      </c>
      <c r="J213" s="52">
        <f t="shared" si="24"/>
        <v>36499.411999999997</v>
      </c>
      <c r="K213" s="6" t="s">
        <v>174</v>
      </c>
      <c r="L213" s="7" t="s">
        <v>175</v>
      </c>
      <c r="M213" s="34" t="s">
        <v>46</v>
      </c>
      <c r="N213" s="7" t="s">
        <v>320</v>
      </c>
      <c r="O213" s="7" t="s">
        <v>287</v>
      </c>
      <c r="P213" s="7" t="s">
        <v>281</v>
      </c>
      <c r="Q213" s="8" t="s">
        <v>179</v>
      </c>
      <c r="R213" s="9">
        <v>0</v>
      </c>
      <c r="S213" s="54">
        <f t="shared" si="21"/>
        <v>0</v>
      </c>
      <c r="T213" s="9">
        <v>0</v>
      </c>
      <c r="U213" s="54">
        <f t="shared" si="22"/>
        <v>0</v>
      </c>
      <c r="V213" s="11">
        <v>0</v>
      </c>
      <c r="W213" s="11" t="s">
        <v>180</v>
      </c>
      <c r="X213" s="9">
        <v>0</v>
      </c>
      <c r="Y213" s="9">
        <f t="shared" si="23"/>
        <v>0</v>
      </c>
      <c r="Z213" s="11">
        <v>0</v>
      </c>
      <c r="AA213" s="11" t="s">
        <v>292</v>
      </c>
      <c r="AB213" s="11" t="s">
        <v>321</v>
      </c>
      <c r="AC213" s="11" t="str">
        <f t="shared" si="19"/>
        <v>EQUATORIAL</v>
      </c>
      <c r="AD213" s="11" t="s">
        <v>6</v>
      </c>
      <c r="AE213" s="10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97" t="s">
        <v>184</v>
      </c>
      <c r="AQ213" s="100">
        <v>0</v>
      </c>
    </row>
    <row r="214" spans="1:43" hidden="1">
      <c r="A214" s="103">
        <v>44348</v>
      </c>
      <c r="B214" s="47" t="s">
        <v>187</v>
      </c>
      <c r="C214" s="2" t="s">
        <v>278</v>
      </c>
      <c r="D214" s="2" t="s">
        <v>279</v>
      </c>
      <c r="E214" s="4" t="s">
        <v>280</v>
      </c>
      <c r="F214" s="4" t="s">
        <v>173</v>
      </c>
      <c r="G214" s="5">
        <v>44348</v>
      </c>
      <c r="H214" s="31">
        <v>36499220</v>
      </c>
      <c r="I214" s="31">
        <v>36499220</v>
      </c>
      <c r="J214" s="52">
        <f t="shared" si="24"/>
        <v>36499.22</v>
      </c>
      <c r="K214" s="12">
        <v>44377</v>
      </c>
      <c r="L214" s="7" t="s">
        <v>175</v>
      </c>
      <c r="M214" s="34" t="s">
        <v>46</v>
      </c>
      <c r="N214" s="7" t="s">
        <v>320</v>
      </c>
      <c r="O214" s="7" t="s">
        <v>288</v>
      </c>
      <c r="P214" s="7" t="s">
        <v>281</v>
      </c>
      <c r="Q214" s="8" t="s">
        <v>179</v>
      </c>
      <c r="R214" s="9">
        <v>0</v>
      </c>
      <c r="S214" s="54">
        <f t="shared" si="21"/>
        <v>0</v>
      </c>
      <c r="T214" s="9">
        <v>0</v>
      </c>
      <c r="U214" s="54">
        <f t="shared" si="22"/>
        <v>0</v>
      </c>
      <c r="V214" s="11">
        <v>0</v>
      </c>
      <c r="W214" s="11" t="s">
        <v>180</v>
      </c>
      <c r="X214" s="9">
        <v>0</v>
      </c>
      <c r="Y214" s="9">
        <f t="shared" si="23"/>
        <v>0</v>
      </c>
      <c r="Z214" s="11">
        <v>0</v>
      </c>
      <c r="AA214" s="11" t="s">
        <v>292</v>
      </c>
      <c r="AB214" s="11" t="s">
        <v>321</v>
      </c>
      <c r="AC214" s="11" t="str">
        <f t="shared" si="19"/>
        <v>EQUATORIAL</v>
      </c>
      <c r="AD214" s="11" t="s">
        <v>6</v>
      </c>
      <c r="AE214" s="10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7" t="s">
        <v>184</v>
      </c>
      <c r="AQ214" s="100">
        <v>0</v>
      </c>
    </row>
    <row r="215" spans="1:43" hidden="1">
      <c r="A215" s="103">
        <v>44682</v>
      </c>
      <c r="B215" s="47" t="s">
        <v>187</v>
      </c>
      <c r="C215" s="2" t="s">
        <v>278</v>
      </c>
      <c r="D215" s="2" t="s">
        <v>279</v>
      </c>
      <c r="E215" s="4" t="s">
        <v>280</v>
      </c>
      <c r="F215" s="4" t="s">
        <v>173</v>
      </c>
      <c r="G215" s="5">
        <v>44682</v>
      </c>
      <c r="H215" s="31">
        <v>18249674</v>
      </c>
      <c r="I215" s="31">
        <v>18249674</v>
      </c>
      <c r="J215" s="52">
        <f t="shared" si="24"/>
        <v>18249.673999999999</v>
      </c>
      <c r="K215" s="12">
        <v>44692</v>
      </c>
      <c r="L215" s="7" t="s">
        <v>175</v>
      </c>
      <c r="M215" s="34" t="s">
        <v>46</v>
      </c>
      <c r="N215" s="7" t="s">
        <v>320</v>
      </c>
      <c r="O215" s="7" t="s">
        <v>289</v>
      </c>
      <c r="P215" s="7" t="s">
        <v>281</v>
      </c>
      <c r="Q215" s="8" t="s">
        <v>179</v>
      </c>
      <c r="R215" s="9">
        <v>0</v>
      </c>
      <c r="S215" s="54">
        <f t="shared" si="21"/>
        <v>0</v>
      </c>
      <c r="T215" s="9">
        <v>0</v>
      </c>
      <c r="U215" s="54">
        <f t="shared" si="22"/>
        <v>0</v>
      </c>
      <c r="V215" s="11">
        <v>0</v>
      </c>
      <c r="W215" s="11" t="s">
        <v>180</v>
      </c>
      <c r="X215" s="9">
        <v>0</v>
      </c>
      <c r="Y215" s="9">
        <f t="shared" si="23"/>
        <v>0</v>
      </c>
      <c r="Z215" s="11">
        <v>0</v>
      </c>
      <c r="AA215" s="11" t="s">
        <v>292</v>
      </c>
      <c r="AB215" s="11" t="s">
        <v>321</v>
      </c>
      <c r="AC215" s="11" t="str">
        <f t="shared" si="19"/>
        <v>EQUATORIAL</v>
      </c>
      <c r="AD215" s="11" t="s">
        <v>6</v>
      </c>
      <c r="AE215" s="10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7" t="s">
        <v>184</v>
      </c>
      <c r="AQ215" s="100">
        <v>0</v>
      </c>
    </row>
    <row r="216" spans="1:43" ht="15.75" hidden="1" thickBot="1">
      <c r="A216" s="103">
        <v>44896</v>
      </c>
      <c r="B216" s="47" t="s">
        <v>187</v>
      </c>
      <c r="C216" s="2" t="s">
        <v>278</v>
      </c>
      <c r="D216" s="2" t="s">
        <v>279</v>
      </c>
      <c r="E216" s="4" t="s">
        <v>280</v>
      </c>
      <c r="F216" s="4" t="s">
        <v>173</v>
      </c>
      <c r="G216" s="5">
        <v>44866</v>
      </c>
      <c r="H216" s="31">
        <v>18249706</v>
      </c>
      <c r="I216" s="31">
        <v>18249706</v>
      </c>
      <c r="J216" s="52">
        <f t="shared" si="24"/>
        <v>18249.705999999998</v>
      </c>
      <c r="K216" s="12">
        <v>44897</v>
      </c>
      <c r="L216" s="7" t="s">
        <v>175</v>
      </c>
      <c r="M216" s="34" t="s">
        <v>46</v>
      </c>
      <c r="N216" s="7" t="s">
        <v>320</v>
      </c>
      <c r="O216" s="7" t="s">
        <v>297</v>
      </c>
      <c r="P216" s="7" t="s">
        <v>281</v>
      </c>
      <c r="Q216" s="8" t="s">
        <v>179</v>
      </c>
      <c r="R216" s="9">
        <v>0</v>
      </c>
      <c r="S216" s="54">
        <f t="shared" si="21"/>
        <v>0</v>
      </c>
      <c r="T216" s="9">
        <v>0</v>
      </c>
      <c r="U216" s="54">
        <f t="shared" si="22"/>
        <v>0</v>
      </c>
      <c r="V216" s="11">
        <v>0</v>
      </c>
      <c r="W216" s="11" t="s">
        <v>180</v>
      </c>
      <c r="X216" s="9">
        <v>0</v>
      </c>
      <c r="Y216" s="9">
        <f t="shared" si="23"/>
        <v>0</v>
      </c>
      <c r="Z216" s="11">
        <v>0</v>
      </c>
      <c r="AA216" s="11" t="s">
        <v>292</v>
      </c>
      <c r="AB216" s="11" t="s">
        <v>321</v>
      </c>
      <c r="AC216" s="11" t="str">
        <f t="shared" si="19"/>
        <v>EQUATORIAL</v>
      </c>
      <c r="AD216" s="11" t="s">
        <v>6</v>
      </c>
      <c r="AE216" s="10">
        <v>0</v>
      </c>
      <c r="AF216" s="9">
        <v>0</v>
      </c>
      <c r="AG216" s="9">
        <v>0</v>
      </c>
      <c r="AH216" s="85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7" t="s">
        <v>184</v>
      </c>
      <c r="AQ216" s="100">
        <v>0</v>
      </c>
    </row>
    <row r="217" spans="1:43" hidden="1">
      <c r="A217" s="103">
        <v>45047</v>
      </c>
      <c r="B217" s="47" t="s">
        <v>187</v>
      </c>
      <c r="C217" s="2" t="s">
        <v>278</v>
      </c>
      <c r="D217" s="2" t="s">
        <v>279</v>
      </c>
      <c r="E217" s="4" t="s">
        <v>280</v>
      </c>
      <c r="F217" s="4" t="s">
        <v>173</v>
      </c>
      <c r="G217" s="5">
        <v>45047</v>
      </c>
      <c r="H217" s="31">
        <v>18249642</v>
      </c>
      <c r="I217" s="31">
        <v>18249642</v>
      </c>
      <c r="J217" s="52">
        <f t="shared" si="24"/>
        <v>18249.642</v>
      </c>
      <c r="K217" s="12">
        <v>45077</v>
      </c>
      <c r="L217" s="7" t="s">
        <v>175</v>
      </c>
      <c r="M217" s="34" t="s">
        <v>46</v>
      </c>
      <c r="N217" s="7" t="s">
        <v>320</v>
      </c>
      <c r="O217" s="7" t="s">
        <v>323</v>
      </c>
      <c r="P217" s="7" t="s">
        <v>281</v>
      </c>
      <c r="Q217" s="8" t="s">
        <v>179</v>
      </c>
      <c r="R217" s="9">
        <v>0</v>
      </c>
      <c r="S217" s="54">
        <f t="shared" si="21"/>
        <v>0</v>
      </c>
      <c r="T217" s="9">
        <v>0</v>
      </c>
      <c r="U217" s="54">
        <f t="shared" si="22"/>
        <v>0</v>
      </c>
      <c r="V217" s="11">
        <v>0</v>
      </c>
      <c r="W217" s="11" t="s">
        <v>180</v>
      </c>
      <c r="X217" s="9">
        <v>0</v>
      </c>
      <c r="Y217" s="9">
        <f t="shared" si="23"/>
        <v>0</v>
      </c>
      <c r="Z217" s="11">
        <v>0</v>
      </c>
      <c r="AA217" s="11" t="s">
        <v>292</v>
      </c>
      <c r="AB217" s="11" t="s">
        <v>321</v>
      </c>
      <c r="AC217" s="11" t="str">
        <f t="shared" ref="AC217:AC280" si="25">B217</f>
        <v>EQUATORIAL</v>
      </c>
      <c r="AD217" s="11" t="s">
        <v>6</v>
      </c>
      <c r="AE217" s="10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9">
        <v>0</v>
      </c>
      <c r="AO217" s="9">
        <v>0</v>
      </c>
      <c r="AP217" s="97" t="s">
        <v>184</v>
      </c>
      <c r="AQ217" s="100">
        <v>0</v>
      </c>
    </row>
    <row r="218" spans="1:43" hidden="1">
      <c r="A218" s="103">
        <v>43739</v>
      </c>
      <c r="B218" s="47" t="s">
        <v>187</v>
      </c>
      <c r="C218" s="2" t="s">
        <v>324</v>
      </c>
      <c r="D218" s="2" t="s">
        <v>228</v>
      </c>
      <c r="E218" s="3" t="s">
        <v>186</v>
      </c>
      <c r="F218" s="4" t="s">
        <v>173</v>
      </c>
      <c r="G218" s="5">
        <v>43739</v>
      </c>
      <c r="H218" s="31">
        <v>2353731.2000000002</v>
      </c>
      <c r="I218" s="31">
        <v>2353731.2000000002</v>
      </c>
      <c r="J218" s="52">
        <f t="shared" si="24"/>
        <v>2353.7312000000002</v>
      </c>
      <c r="K218" s="6" t="s">
        <v>174</v>
      </c>
      <c r="L218" s="7" t="s">
        <v>175</v>
      </c>
      <c r="M218" s="34" t="s">
        <v>101</v>
      </c>
      <c r="N218" s="7" t="s">
        <v>229</v>
      </c>
      <c r="O218" s="7" t="s">
        <v>284</v>
      </c>
      <c r="P218" s="7" t="s">
        <v>325</v>
      </c>
      <c r="Q218" s="8" t="s">
        <v>179</v>
      </c>
      <c r="R218" s="9">
        <v>235373120</v>
      </c>
      <c r="S218" s="54">
        <f t="shared" si="21"/>
        <v>235373.12</v>
      </c>
      <c r="T218" s="9">
        <v>164761180</v>
      </c>
      <c r="U218" s="54">
        <f t="shared" si="22"/>
        <v>164761.18</v>
      </c>
      <c r="V218" s="10">
        <v>0.69999998300570598</v>
      </c>
      <c r="W218" s="11" t="s">
        <v>180</v>
      </c>
      <c r="X218" s="9">
        <v>-12831233.250000002</v>
      </c>
      <c r="Y218" s="9">
        <f t="shared" si="23"/>
        <v>-12831.233250000001</v>
      </c>
      <c r="Z218" s="10">
        <f>X218/T218</f>
        <v>-7.7877769812039477E-2</v>
      </c>
      <c r="AA218" s="11" t="s">
        <v>282</v>
      </c>
      <c r="AB218" s="66" t="s">
        <v>230</v>
      </c>
      <c r="AC218" s="11" t="str">
        <f t="shared" si="25"/>
        <v>EQUATORIAL</v>
      </c>
      <c r="AD218" s="11" t="s">
        <v>183</v>
      </c>
      <c r="AE218" s="10">
        <f>Z218</f>
        <v>-7.7877769812039477E-2</v>
      </c>
      <c r="AF218" s="9">
        <f>X218</f>
        <v>-12831233.250000002</v>
      </c>
      <c r="AG218" s="9">
        <f>AF218/1000</f>
        <v>-12831.233250000001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0</v>
      </c>
      <c r="AP218" s="97" t="s">
        <v>184</v>
      </c>
      <c r="AQ218" s="100">
        <v>0</v>
      </c>
    </row>
    <row r="219" spans="1:43" hidden="1">
      <c r="A219" s="103">
        <v>43739</v>
      </c>
      <c r="B219" s="47" t="s">
        <v>187</v>
      </c>
      <c r="C219" s="2" t="s">
        <v>324</v>
      </c>
      <c r="D219" s="2" t="s">
        <v>326</v>
      </c>
      <c r="E219" s="3" t="s">
        <v>327</v>
      </c>
      <c r="F219" s="4" t="s">
        <v>173</v>
      </c>
      <c r="G219" s="5">
        <v>43739</v>
      </c>
      <c r="H219" s="31">
        <v>30598504.800000001</v>
      </c>
      <c r="I219" s="31">
        <v>30598504.800000001</v>
      </c>
      <c r="J219" s="52">
        <f t="shared" si="24"/>
        <v>30598.504800000002</v>
      </c>
      <c r="K219" s="6" t="s">
        <v>174</v>
      </c>
      <c r="L219" s="7" t="s">
        <v>175</v>
      </c>
      <c r="M219" s="34" t="s">
        <v>101</v>
      </c>
      <c r="N219" s="7" t="s">
        <v>229</v>
      </c>
      <c r="O219" s="7" t="s">
        <v>284</v>
      </c>
      <c r="P219" s="7" t="s">
        <v>325</v>
      </c>
      <c r="Q219" s="8" t="s">
        <v>179</v>
      </c>
      <c r="R219" s="9">
        <v>0</v>
      </c>
      <c r="S219" s="54">
        <f t="shared" si="21"/>
        <v>0</v>
      </c>
      <c r="T219" s="9">
        <v>0</v>
      </c>
      <c r="U219" s="54">
        <f t="shared" si="22"/>
        <v>0</v>
      </c>
      <c r="V219" s="11">
        <v>0</v>
      </c>
      <c r="W219" s="11" t="s">
        <v>180</v>
      </c>
      <c r="X219" s="9">
        <v>0</v>
      </c>
      <c r="Y219" s="9">
        <f t="shared" si="23"/>
        <v>0</v>
      </c>
      <c r="Z219" s="11">
        <v>0</v>
      </c>
      <c r="AA219" s="11" t="s">
        <v>282</v>
      </c>
      <c r="AB219" s="66" t="s">
        <v>230</v>
      </c>
      <c r="AC219" s="11" t="str">
        <f t="shared" si="25"/>
        <v>EQUATORIAL</v>
      </c>
      <c r="AD219" s="11" t="s">
        <v>183</v>
      </c>
      <c r="AE219" s="10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7" t="s">
        <v>184</v>
      </c>
      <c r="AQ219" s="100">
        <v>0</v>
      </c>
    </row>
    <row r="220" spans="1:43" hidden="1">
      <c r="A220" s="103">
        <v>43891</v>
      </c>
      <c r="B220" s="47" t="s">
        <v>187</v>
      </c>
      <c r="C220" s="2" t="s">
        <v>324</v>
      </c>
      <c r="D220" s="2" t="s">
        <v>326</v>
      </c>
      <c r="E220" s="4" t="s">
        <v>327</v>
      </c>
      <c r="F220" s="4" t="s">
        <v>173</v>
      </c>
      <c r="G220" s="5">
        <v>43891</v>
      </c>
      <c r="H220" s="31">
        <v>32952236</v>
      </c>
      <c r="I220" s="31">
        <v>32952236</v>
      </c>
      <c r="J220" s="52">
        <f t="shared" si="24"/>
        <v>32952.235999999997</v>
      </c>
      <c r="K220" s="6" t="s">
        <v>174</v>
      </c>
      <c r="L220" s="7" t="s">
        <v>175</v>
      </c>
      <c r="M220" s="34" t="s">
        <v>101</v>
      </c>
      <c r="N220" s="7" t="s">
        <v>229</v>
      </c>
      <c r="O220" s="7" t="s">
        <v>287</v>
      </c>
      <c r="P220" s="7" t="s">
        <v>325</v>
      </c>
      <c r="Q220" s="8" t="s">
        <v>179</v>
      </c>
      <c r="R220" s="9">
        <v>0</v>
      </c>
      <c r="S220" s="54">
        <f t="shared" si="21"/>
        <v>0</v>
      </c>
      <c r="T220" s="9">
        <v>0</v>
      </c>
      <c r="U220" s="54">
        <f t="shared" si="22"/>
        <v>0</v>
      </c>
      <c r="V220" s="11">
        <v>0</v>
      </c>
      <c r="W220" s="11" t="s">
        <v>180</v>
      </c>
      <c r="X220" s="9">
        <v>0</v>
      </c>
      <c r="Y220" s="9">
        <f t="shared" si="23"/>
        <v>0</v>
      </c>
      <c r="Z220" s="11">
        <v>0</v>
      </c>
      <c r="AA220" s="11" t="s">
        <v>282</v>
      </c>
      <c r="AB220" s="66" t="s">
        <v>230</v>
      </c>
      <c r="AC220" s="11" t="str">
        <f t="shared" si="25"/>
        <v>EQUATORIAL</v>
      </c>
      <c r="AD220" s="11" t="s">
        <v>183</v>
      </c>
      <c r="AE220" s="10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7" t="s">
        <v>184</v>
      </c>
      <c r="AQ220" s="100">
        <v>0</v>
      </c>
    </row>
    <row r="221" spans="1:43" hidden="1">
      <c r="A221" s="103">
        <v>44896</v>
      </c>
      <c r="B221" s="47" t="s">
        <v>187</v>
      </c>
      <c r="C221" s="2" t="s">
        <v>324</v>
      </c>
      <c r="D221" s="2" t="s">
        <v>326</v>
      </c>
      <c r="E221" s="4" t="s">
        <v>327</v>
      </c>
      <c r="F221" s="4" t="s">
        <v>173</v>
      </c>
      <c r="G221" s="5">
        <v>44896</v>
      </c>
      <c r="H221" s="31">
        <v>32952236</v>
      </c>
      <c r="I221" s="31">
        <v>32952236</v>
      </c>
      <c r="J221" s="52">
        <f t="shared" si="24"/>
        <v>32952.235999999997</v>
      </c>
      <c r="K221" s="12">
        <v>44924</v>
      </c>
      <c r="L221" s="7" t="s">
        <v>175</v>
      </c>
      <c r="M221" s="34" t="s">
        <v>101</v>
      </c>
      <c r="N221" s="7" t="s">
        <v>229</v>
      </c>
      <c r="O221" s="7" t="s">
        <v>288</v>
      </c>
      <c r="P221" s="7" t="s">
        <v>325</v>
      </c>
      <c r="Q221" s="8" t="s">
        <v>179</v>
      </c>
      <c r="R221" s="9">
        <v>0</v>
      </c>
      <c r="S221" s="54">
        <f t="shared" si="21"/>
        <v>0</v>
      </c>
      <c r="T221" s="9">
        <v>0</v>
      </c>
      <c r="U221" s="54">
        <f t="shared" si="22"/>
        <v>0</v>
      </c>
      <c r="V221" s="11">
        <v>0</v>
      </c>
      <c r="W221" s="11" t="s">
        <v>180</v>
      </c>
      <c r="X221" s="9">
        <v>0</v>
      </c>
      <c r="Y221" s="9">
        <f t="shared" si="23"/>
        <v>0</v>
      </c>
      <c r="Z221" s="11">
        <v>0</v>
      </c>
      <c r="AA221" s="11" t="s">
        <v>282</v>
      </c>
      <c r="AB221" s="66" t="s">
        <v>230</v>
      </c>
      <c r="AC221" s="11" t="str">
        <f t="shared" si="25"/>
        <v>EQUATORIAL</v>
      </c>
      <c r="AD221" s="11" t="s">
        <v>183</v>
      </c>
      <c r="AE221" s="10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7" t="s">
        <v>184</v>
      </c>
      <c r="AQ221" s="100">
        <v>0</v>
      </c>
    </row>
    <row r="222" spans="1:43" hidden="1">
      <c r="A222" s="103">
        <v>45078</v>
      </c>
      <c r="B222" s="47" t="s">
        <v>187</v>
      </c>
      <c r="C222" s="2" t="s">
        <v>324</v>
      </c>
      <c r="D222" s="2" t="s">
        <v>326</v>
      </c>
      <c r="E222" s="4" t="s">
        <v>327</v>
      </c>
      <c r="F222" s="4" t="s">
        <v>173</v>
      </c>
      <c r="G222" s="5">
        <v>45078</v>
      </c>
      <c r="H222" s="31">
        <v>16476118</v>
      </c>
      <c r="I222" s="31">
        <v>16476118</v>
      </c>
      <c r="J222" s="52">
        <f t="shared" si="24"/>
        <v>16476.117999999999</v>
      </c>
      <c r="K222" s="12">
        <v>45100</v>
      </c>
      <c r="L222" s="7" t="s">
        <v>175</v>
      </c>
      <c r="M222" s="34" t="s">
        <v>101</v>
      </c>
      <c r="N222" s="7" t="s">
        <v>229</v>
      </c>
      <c r="O222" s="84" t="s">
        <v>289</v>
      </c>
      <c r="P222" s="7" t="s">
        <v>325</v>
      </c>
      <c r="Q222" s="8" t="s">
        <v>179</v>
      </c>
      <c r="R222" s="9">
        <v>0</v>
      </c>
      <c r="S222" s="54">
        <f t="shared" si="21"/>
        <v>0</v>
      </c>
      <c r="T222" s="9">
        <v>0</v>
      </c>
      <c r="U222" s="54">
        <f t="shared" si="22"/>
        <v>0</v>
      </c>
      <c r="V222" s="11">
        <v>0</v>
      </c>
      <c r="W222" s="11" t="s">
        <v>180</v>
      </c>
      <c r="X222" s="9">
        <v>0</v>
      </c>
      <c r="Y222" s="9">
        <f t="shared" si="23"/>
        <v>0</v>
      </c>
      <c r="Z222" s="11">
        <v>0</v>
      </c>
      <c r="AA222" s="11" t="s">
        <v>282</v>
      </c>
      <c r="AB222" s="66" t="s">
        <v>230</v>
      </c>
      <c r="AC222" s="11" t="str">
        <f t="shared" si="25"/>
        <v>EQUATORIAL</v>
      </c>
      <c r="AD222" s="11" t="s">
        <v>183</v>
      </c>
      <c r="AE222" s="10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7" t="s">
        <v>184</v>
      </c>
      <c r="AQ222" s="100">
        <v>0</v>
      </c>
    </row>
    <row r="223" spans="1:43" hidden="1">
      <c r="A223" s="103">
        <v>45078</v>
      </c>
      <c r="B223" s="47" t="s">
        <v>187</v>
      </c>
      <c r="C223" s="2" t="s">
        <v>324</v>
      </c>
      <c r="D223" s="2" t="s">
        <v>326</v>
      </c>
      <c r="E223" s="4" t="s">
        <v>327</v>
      </c>
      <c r="F223" s="4" t="s">
        <v>173</v>
      </c>
      <c r="G223" s="5">
        <v>45078</v>
      </c>
      <c r="H223" s="31">
        <v>16476118</v>
      </c>
      <c r="I223" s="31">
        <v>16476118</v>
      </c>
      <c r="J223" s="52">
        <f t="shared" si="24"/>
        <v>16476.117999999999</v>
      </c>
      <c r="K223" s="12">
        <v>45100</v>
      </c>
      <c r="L223" s="7" t="s">
        <v>175</v>
      </c>
      <c r="M223" s="34" t="s">
        <v>101</v>
      </c>
      <c r="N223" s="7" t="s">
        <v>229</v>
      </c>
      <c r="O223" s="84" t="s">
        <v>297</v>
      </c>
      <c r="P223" s="7" t="s">
        <v>325</v>
      </c>
      <c r="Q223" s="8" t="s">
        <v>179</v>
      </c>
      <c r="R223" s="9">
        <v>0</v>
      </c>
      <c r="S223" s="54">
        <f t="shared" si="21"/>
        <v>0</v>
      </c>
      <c r="T223" s="9">
        <v>0</v>
      </c>
      <c r="U223" s="54">
        <f t="shared" si="22"/>
        <v>0</v>
      </c>
      <c r="V223" s="11">
        <v>0</v>
      </c>
      <c r="W223" s="11" t="s">
        <v>180</v>
      </c>
      <c r="X223" s="9">
        <v>0</v>
      </c>
      <c r="Y223" s="9">
        <f t="shared" si="23"/>
        <v>0</v>
      </c>
      <c r="Z223" s="11">
        <v>0</v>
      </c>
      <c r="AA223" s="11" t="s">
        <v>282</v>
      </c>
      <c r="AB223" s="66" t="s">
        <v>230</v>
      </c>
      <c r="AC223" s="11" t="str">
        <f t="shared" si="25"/>
        <v>EQUATORIAL</v>
      </c>
      <c r="AD223" s="11" t="s">
        <v>183</v>
      </c>
      <c r="AE223" s="10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7" t="s">
        <v>184</v>
      </c>
      <c r="AQ223" s="100">
        <v>0</v>
      </c>
    </row>
    <row r="224" spans="1:43" hidden="1">
      <c r="A224" s="103">
        <v>45261</v>
      </c>
      <c r="B224" s="47" t="s">
        <v>187</v>
      </c>
      <c r="C224" s="2" t="s">
        <v>324</v>
      </c>
      <c r="D224" s="2" t="s">
        <v>326</v>
      </c>
      <c r="E224" s="4" t="s">
        <v>327</v>
      </c>
      <c r="F224" s="4" t="s">
        <v>173</v>
      </c>
      <c r="G224" s="5">
        <v>45261</v>
      </c>
      <c r="H224" s="31">
        <v>16476118</v>
      </c>
      <c r="I224" s="31">
        <v>16476118</v>
      </c>
      <c r="J224" s="52">
        <f t="shared" si="24"/>
        <v>16476.117999999999</v>
      </c>
      <c r="K224" s="12">
        <v>45274</v>
      </c>
      <c r="L224" s="7" t="s">
        <v>175</v>
      </c>
      <c r="M224" s="34" t="s">
        <v>101</v>
      </c>
      <c r="N224" s="7" t="s">
        <v>229</v>
      </c>
      <c r="O224" s="7" t="s">
        <v>323</v>
      </c>
      <c r="P224" s="7" t="s">
        <v>325</v>
      </c>
      <c r="Q224" s="8" t="s">
        <v>179</v>
      </c>
      <c r="R224" s="9">
        <v>0</v>
      </c>
      <c r="S224" s="54">
        <f t="shared" si="21"/>
        <v>0</v>
      </c>
      <c r="T224" s="9">
        <v>0</v>
      </c>
      <c r="U224" s="54">
        <f t="shared" si="22"/>
        <v>0</v>
      </c>
      <c r="V224" s="11">
        <v>0</v>
      </c>
      <c r="W224" s="11" t="s">
        <v>180</v>
      </c>
      <c r="X224" s="9">
        <v>0</v>
      </c>
      <c r="Y224" s="9">
        <f t="shared" si="23"/>
        <v>0</v>
      </c>
      <c r="Z224" s="11">
        <v>0</v>
      </c>
      <c r="AA224" s="11" t="s">
        <v>282</v>
      </c>
      <c r="AB224" s="66" t="s">
        <v>230</v>
      </c>
      <c r="AC224" s="11" t="str">
        <f t="shared" si="25"/>
        <v>EQUATORIAL</v>
      </c>
      <c r="AD224" s="11" t="s">
        <v>183</v>
      </c>
      <c r="AE224" s="10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7" t="s">
        <v>184</v>
      </c>
      <c r="AQ224" s="100">
        <v>0</v>
      </c>
    </row>
    <row r="225" spans="1:43" hidden="1">
      <c r="A225" s="103">
        <v>44409</v>
      </c>
      <c r="B225" s="47" t="s">
        <v>187</v>
      </c>
      <c r="C225" s="2" t="s">
        <v>328</v>
      </c>
      <c r="D225" s="2" t="s">
        <v>228</v>
      </c>
      <c r="E225" s="4" t="s">
        <v>186</v>
      </c>
      <c r="F225" s="4" t="s">
        <v>173</v>
      </c>
      <c r="G225" s="5">
        <v>44409</v>
      </c>
      <c r="H225" s="31">
        <v>82249961.989999995</v>
      </c>
      <c r="I225" s="31">
        <v>82249961.989999995</v>
      </c>
      <c r="J225" s="52">
        <f t="shared" si="24"/>
        <v>82249.961989999996</v>
      </c>
      <c r="K225" s="12">
        <v>44439</v>
      </c>
      <c r="L225" s="7" t="s">
        <v>175</v>
      </c>
      <c r="M225" s="34" t="s">
        <v>102</v>
      </c>
      <c r="N225" s="7" t="s">
        <v>220</v>
      </c>
      <c r="O225" s="7" t="s">
        <v>284</v>
      </c>
      <c r="P225" s="7" t="s">
        <v>329</v>
      </c>
      <c r="Q225" s="8" t="s">
        <v>179</v>
      </c>
      <c r="R225" s="9">
        <v>173904560</v>
      </c>
      <c r="S225" s="54">
        <f t="shared" si="21"/>
        <v>173904.56</v>
      </c>
      <c r="T225" s="9">
        <v>104342730</v>
      </c>
      <c r="U225" s="54">
        <f t="shared" si="22"/>
        <v>104342.73</v>
      </c>
      <c r="V225" s="10">
        <v>0.59999996549831702</v>
      </c>
      <c r="W225" s="11" t="s">
        <v>180</v>
      </c>
      <c r="X225" s="9">
        <v>0</v>
      </c>
      <c r="Y225" s="9">
        <f t="shared" si="23"/>
        <v>0</v>
      </c>
      <c r="Z225" s="11">
        <v>0</v>
      </c>
      <c r="AA225" s="11" t="s">
        <v>282</v>
      </c>
      <c r="AB225" s="66" t="s">
        <v>221</v>
      </c>
      <c r="AC225" s="11" t="str">
        <f t="shared" si="25"/>
        <v>EQUATORIAL</v>
      </c>
      <c r="AD225" s="11" t="s">
        <v>183</v>
      </c>
      <c r="AE225" s="10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7" t="s">
        <v>184</v>
      </c>
      <c r="AQ225" s="100">
        <v>0</v>
      </c>
    </row>
    <row r="226" spans="1:43" hidden="1">
      <c r="A226" s="103">
        <v>43739</v>
      </c>
      <c r="B226" s="47" t="s">
        <v>226</v>
      </c>
      <c r="C226" s="2" t="s">
        <v>313</v>
      </c>
      <c r="D226" s="2" t="s">
        <v>228</v>
      </c>
      <c r="E226" s="3" t="s">
        <v>186</v>
      </c>
      <c r="F226" s="4" t="s">
        <v>173</v>
      </c>
      <c r="G226" s="5">
        <v>43739</v>
      </c>
      <c r="H226" s="31">
        <v>615954798</v>
      </c>
      <c r="I226" s="31">
        <v>615954798</v>
      </c>
      <c r="J226" s="52">
        <f t="shared" si="24"/>
        <v>615954.79799999995</v>
      </c>
      <c r="K226" s="6" t="s">
        <v>174</v>
      </c>
      <c r="L226" s="7" t="s">
        <v>175</v>
      </c>
      <c r="M226" s="34" t="s">
        <v>103</v>
      </c>
      <c r="N226" s="7" t="s">
        <v>320</v>
      </c>
      <c r="O226" s="7" t="s">
        <v>284</v>
      </c>
      <c r="P226" s="7" t="s">
        <v>315</v>
      </c>
      <c r="Q226" s="8" t="s">
        <v>179</v>
      </c>
      <c r="R226" s="9">
        <v>1052914190</v>
      </c>
      <c r="S226" s="54">
        <f t="shared" si="21"/>
        <v>1052914.19</v>
      </c>
      <c r="T226" s="9">
        <v>684394220</v>
      </c>
      <c r="U226" s="54">
        <f t="shared" si="22"/>
        <v>684394.22</v>
      </c>
      <c r="V226" s="10">
        <v>0.64999999667589248</v>
      </c>
      <c r="W226" s="11" t="s">
        <v>180</v>
      </c>
      <c r="X226" s="9">
        <v>-67716755.690000013</v>
      </c>
      <c r="Y226" s="9">
        <f t="shared" si="23"/>
        <v>-67716.755690000005</v>
      </c>
      <c r="Z226" s="10">
        <f>X226/T226</f>
        <v>-9.8944078881905248E-2</v>
      </c>
      <c r="AA226" s="11" t="s">
        <v>282</v>
      </c>
      <c r="AB226" s="11" t="s">
        <v>321</v>
      </c>
      <c r="AC226" s="11" t="str">
        <f t="shared" si="25"/>
        <v xml:space="preserve">NEOENERGIA </v>
      </c>
      <c r="AD226" s="11" t="s">
        <v>183</v>
      </c>
      <c r="AE226" s="10">
        <f>Z226</f>
        <v>-9.8944078881905248E-2</v>
      </c>
      <c r="AF226" s="9">
        <f>X226</f>
        <v>-67716755.690000013</v>
      </c>
      <c r="AG226" s="9">
        <f>AF226/1000</f>
        <v>-67716.755690000005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7" t="s">
        <v>184</v>
      </c>
      <c r="AQ226" s="100">
        <v>0</v>
      </c>
    </row>
    <row r="227" spans="1:43" hidden="1">
      <c r="A227" s="103">
        <v>44044</v>
      </c>
      <c r="B227" s="47" t="s">
        <v>290</v>
      </c>
      <c r="C227" s="2" t="s">
        <v>290</v>
      </c>
      <c r="D227" s="2" t="s">
        <v>228</v>
      </c>
      <c r="E227" s="4" t="s">
        <v>186</v>
      </c>
      <c r="F227" s="4" t="s">
        <v>173</v>
      </c>
      <c r="G227" s="5">
        <v>44044</v>
      </c>
      <c r="H227" s="31">
        <v>1046376.5</v>
      </c>
      <c r="I227" s="31">
        <v>1046376.5</v>
      </c>
      <c r="J227" s="52">
        <f t="shared" si="24"/>
        <v>1046.3765000000001</v>
      </c>
      <c r="K227" s="12">
        <v>44044</v>
      </c>
      <c r="L227" s="7" t="s">
        <v>175</v>
      </c>
      <c r="M227" s="34" t="s">
        <v>47</v>
      </c>
      <c r="N227" s="7" t="s">
        <v>220</v>
      </c>
      <c r="O227" s="7" t="s">
        <v>284</v>
      </c>
      <c r="P227" s="7" t="s">
        <v>291</v>
      </c>
      <c r="Q227" s="8" t="s">
        <v>179</v>
      </c>
      <c r="R227" s="9">
        <v>104637330</v>
      </c>
      <c r="S227" s="54">
        <f t="shared" si="21"/>
        <v>104637.33</v>
      </c>
      <c r="T227" s="9">
        <v>94173600</v>
      </c>
      <c r="U227" s="54">
        <f t="shared" si="22"/>
        <v>94173.6</v>
      </c>
      <c r="V227" s="10">
        <v>0.90000002867045636</v>
      </c>
      <c r="W227" s="11" t="s">
        <v>180</v>
      </c>
      <c r="X227" s="9">
        <v>-13307169.15</v>
      </c>
      <c r="Y227" s="9">
        <f t="shared" si="23"/>
        <v>-13307.16915</v>
      </c>
      <c r="Z227" s="10">
        <f>X227/T227</f>
        <v>-0.14130466659445959</v>
      </c>
      <c r="AA227" s="11" t="s">
        <v>292</v>
      </c>
      <c r="AB227" s="66" t="s">
        <v>221</v>
      </c>
      <c r="AC227" s="11" t="str">
        <f t="shared" si="25"/>
        <v>RORAIMA ENERGIA</v>
      </c>
      <c r="AD227" s="11" t="s">
        <v>6</v>
      </c>
      <c r="AE227" s="10">
        <f>SUM(I227+I229+I230+I233+I228+I231+I232)/T227-100%+Z227</f>
        <v>-0.2413047303065827</v>
      </c>
      <c r="AF227" s="9">
        <f>-13307269.15</f>
        <v>-13307269.15</v>
      </c>
      <c r="AG227" s="9">
        <f>AF227/1000</f>
        <v>-13307.26915</v>
      </c>
      <c r="AH227" s="79">
        <f>AE227*T227</f>
        <v>-22724535.149999995</v>
      </c>
      <c r="AI227" s="9">
        <f>AH227/1000</f>
        <v>-22724.535149999996</v>
      </c>
      <c r="AJ227" s="9">
        <f>AK227*1000</f>
        <v>95124890</v>
      </c>
      <c r="AK227" s="9">
        <v>95124.89</v>
      </c>
      <c r="AL227" s="9">
        <v>0.90900000000000003</v>
      </c>
      <c r="AM227" s="9">
        <f>AN227*1000</f>
        <v>9512440</v>
      </c>
      <c r="AN227" s="9">
        <v>9512.44</v>
      </c>
      <c r="AO227" s="9">
        <v>9.0999999999999998E-2</v>
      </c>
      <c r="AP227" s="97" t="s">
        <v>300</v>
      </c>
      <c r="AQ227" s="100">
        <v>0.82679999999999998</v>
      </c>
    </row>
    <row r="228" spans="1:43" hidden="1">
      <c r="A228" s="103">
        <v>44044</v>
      </c>
      <c r="B228" s="47" t="s">
        <v>290</v>
      </c>
      <c r="C228" s="2" t="s">
        <v>290</v>
      </c>
      <c r="D228" s="2" t="s">
        <v>294</v>
      </c>
      <c r="E228" s="4" t="s">
        <v>295</v>
      </c>
      <c r="F228" s="4" t="s">
        <v>173</v>
      </c>
      <c r="G228" s="5">
        <v>44044</v>
      </c>
      <c r="H228" s="31">
        <v>17788401.5</v>
      </c>
      <c r="I228" s="31">
        <v>17788401.5</v>
      </c>
      <c r="J228" s="52">
        <f t="shared" si="24"/>
        <v>17788.4015</v>
      </c>
      <c r="K228" s="12">
        <v>44044</v>
      </c>
      <c r="L228" s="7" t="s">
        <v>175</v>
      </c>
      <c r="M228" s="34" t="s">
        <v>47</v>
      </c>
      <c r="N228" s="7" t="s">
        <v>220</v>
      </c>
      <c r="O228" s="7" t="s">
        <v>284</v>
      </c>
      <c r="P228" s="7" t="s">
        <v>291</v>
      </c>
      <c r="Q228" s="8" t="s">
        <v>179</v>
      </c>
      <c r="R228" s="9">
        <v>0</v>
      </c>
      <c r="S228" s="54">
        <f t="shared" si="21"/>
        <v>0</v>
      </c>
      <c r="T228" s="9">
        <v>0</v>
      </c>
      <c r="U228" s="54">
        <f t="shared" si="22"/>
        <v>0</v>
      </c>
      <c r="V228" s="11">
        <v>0</v>
      </c>
      <c r="W228" s="11" t="s">
        <v>180</v>
      </c>
      <c r="X228" s="9">
        <v>0</v>
      </c>
      <c r="Y228" s="9">
        <f t="shared" si="23"/>
        <v>0</v>
      </c>
      <c r="Z228" s="11">
        <v>0</v>
      </c>
      <c r="AA228" s="11" t="s">
        <v>292</v>
      </c>
      <c r="AB228" s="66" t="s">
        <v>221</v>
      </c>
      <c r="AC228" s="11" t="str">
        <f t="shared" si="25"/>
        <v>RORAIMA ENERGIA</v>
      </c>
      <c r="AD228" s="11" t="s">
        <v>6</v>
      </c>
      <c r="AE228" s="10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7" t="s">
        <v>184</v>
      </c>
      <c r="AQ228" s="100">
        <v>0</v>
      </c>
    </row>
    <row r="229" spans="1:43" hidden="1">
      <c r="A229" s="103">
        <v>44621</v>
      </c>
      <c r="B229" s="47" t="s">
        <v>290</v>
      </c>
      <c r="C229" s="2" t="s">
        <v>290</v>
      </c>
      <c r="D229" s="2" t="s">
        <v>294</v>
      </c>
      <c r="E229" s="4" t="s">
        <v>295</v>
      </c>
      <c r="F229" s="4" t="s">
        <v>173</v>
      </c>
      <c r="G229" s="5">
        <v>44621</v>
      </c>
      <c r="H229" s="31">
        <v>18834778</v>
      </c>
      <c r="I229" s="31">
        <v>18834778</v>
      </c>
      <c r="J229" s="52">
        <f t="shared" si="24"/>
        <v>18834.777999999998</v>
      </c>
      <c r="K229" s="12">
        <v>44645</v>
      </c>
      <c r="L229" s="7" t="s">
        <v>175</v>
      </c>
      <c r="M229" s="34" t="s">
        <v>47</v>
      </c>
      <c r="N229" s="7" t="s">
        <v>220</v>
      </c>
      <c r="O229" s="7" t="s">
        <v>287</v>
      </c>
      <c r="P229" s="7" t="s">
        <v>291</v>
      </c>
      <c r="Q229" s="8" t="s">
        <v>179</v>
      </c>
      <c r="R229" s="9">
        <v>0</v>
      </c>
      <c r="S229" s="54">
        <f t="shared" si="21"/>
        <v>0</v>
      </c>
      <c r="T229" s="9">
        <v>0</v>
      </c>
      <c r="U229" s="54">
        <f t="shared" si="22"/>
        <v>0</v>
      </c>
      <c r="V229" s="11">
        <v>0</v>
      </c>
      <c r="W229" s="11" t="s">
        <v>180</v>
      </c>
      <c r="X229" s="9">
        <v>0</v>
      </c>
      <c r="Y229" s="9">
        <f t="shared" si="23"/>
        <v>0</v>
      </c>
      <c r="Z229" s="11">
        <v>0</v>
      </c>
      <c r="AA229" s="11" t="s">
        <v>292</v>
      </c>
      <c r="AB229" s="66" t="s">
        <v>221</v>
      </c>
      <c r="AC229" s="11" t="str">
        <f t="shared" si="25"/>
        <v>RORAIMA ENERGIA</v>
      </c>
      <c r="AD229" s="11" t="s">
        <v>6</v>
      </c>
      <c r="AE229" s="10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7" t="s">
        <v>184</v>
      </c>
      <c r="AQ229" s="100">
        <v>0</v>
      </c>
    </row>
    <row r="230" spans="1:43" hidden="1">
      <c r="A230" s="103">
        <v>44835</v>
      </c>
      <c r="B230" s="47" t="s">
        <v>290</v>
      </c>
      <c r="C230" s="2" t="s">
        <v>290</v>
      </c>
      <c r="D230" s="2" t="s">
        <v>294</v>
      </c>
      <c r="E230" s="4" t="s">
        <v>295</v>
      </c>
      <c r="F230" s="4" t="s">
        <v>173</v>
      </c>
      <c r="G230" s="5">
        <v>44835</v>
      </c>
      <c r="H230" s="31">
        <v>18834778</v>
      </c>
      <c r="I230" s="31">
        <v>18834778</v>
      </c>
      <c r="J230" s="52">
        <f t="shared" si="24"/>
        <v>18834.777999999998</v>
      </c>
      <c r="K230" s="12">
        <v>44852</v>
      </c>
      <c r="L230" s="7" t="s">
        <v>175</v>
      </c>
      <c r="M230" s="34" t="s">
        <v>47</v>
      </c>
      <c r="N230" s="7" t="s">
        <v>220</v>
      </c>
      <c r="O230" s="7" t="s">
        <v>288</v>
      </c>
      <c r="P230" s="7" t="s">
        <v>291</v>
      </c>
      <c r="Q230" s="8" t="s">
        <v>179</v>
      </c>
      <c r="R230" s="9">
        <v>0</v>
      </c>
      <c r="S230" s="54">
        <f t="shared" si="21"/>
        <v>0</v>
      </c>
      <c r="T230" s="9">
        <v>0</v>
      </c>
      <c r="U230" s="54">
        <f t="shared" si="22"/>
        <v>0</v>
      </c>
      <c r="V230" s="11">
        <v>0</v>
      </c>
      <c r="W230" s="11" t="s">
        <v>180</v>
      </c>
      <c r="X230" s="9">
        <v>0</v>
      </c>
      <c r="Y230" s="9">
        <f t="shared" si="23"/>
        <v>0</v>
      </c>
      <c r="Z230" s="11">
        <v>0</v>
      </c>
      <c r="AA230" s="11" t="s">
        <v>292</v>
      </c>
      <c r="AB230" s="66" t="s">
        <v>221</v>
      </c>
      <c r="AC230" s="11" t="str">
        <f t="shared" si="25"/>
        <v>RORAIMA ENERGIA</v>
      </c>
      <c r="AD230" s="11" t="s">
        <v>6</v>
      </c>
      <c r="AE230" s="10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7" t="s">
        <v>184</v>
      </c>
      <c r="AQ230" s="100">
        <v>0</v>
      </c>
    </row>
    <row r="231" spans="1:43" hidden="1">
      <c r="A231" s="103">
        <v>45017</v>
      </c>
      <c r="B231" s="47" t="s">
        <v>290</v>
      </c>
      <c r="C231" s="2" t="s">
        <v>290</v>
      </c>
      <c r="D231" s="2" t="s">
        <v>294</v>
      </c>
      <c r="E231" s="4" t="s">
        <v>295</v>
      </c>
      <c r="F231" s="4" t="s">
        <v>173</v>
      </c>
      <c r="G231" s="5">
        <v>45017</v>
      </c>
      <c r="H231" s="31">
        <v>9417270</v>
      </c>
      <c r="I231" s="31">
        <v>9417270</v>
      </c>
      <c r="J231" s="52">
        <f t="shared" si="24"/>
        <v>9417.27</v>
      </c>
      <c r="K231" s="12">
        <v>45036</v>
      </c>
      <c r="L231" s="7" t="s">
        <v>175</v>
      </c>
      <c r="M231" s="34" t="s">
        <v>47</v>
      </c>
      <c r="N231" s="7" t="s">
        <v>220</v>
      </c>
      <c r="O231" s="7" t="s">
        <v>289</v>
      </c>
      <c r="P231" s="7" t="s">
        <v>291</v>
      </c>
      <c r="Q231" s="8" t="s">
        <v>179</v>
      </c>
      <c r="R231" s="9">
        <v>0</v>
      </c>
      <c r="S231" s="54">
        <f t="shared" si="21"/>
        <v>0</v>
      </c>
      <c r="T231" s="9">
        <v>0</v>
      </c>
      <c r="U231" s="54">
        <f t="shared" si="22"/>
        <v>0</v>
      </c>
      <c r="V231" s="11">
        <v>0</v>
      </c>
      <c r="W231" s="11" t="s">
        <v>180</v>
      </c>
      <c r="X231" s="9">
        <v>0</v>
      </c>
      <c r="Y231" s="9">
        <f t="shared" si="23"/>
        <v>0</v>
      </c>
      <c r="Z231" s="11">
        <v>0</v>
      </c>
      <c r="AA231" s="11" t="s">
        <v>292</v>
      </c>
      <c r="AB231" s="66" t="s">
        <v>221</v>
      </c>
      <c r="AC231" s="11" t="str">
        <f t="shared" si="25"/>
        <v>RORAIMA ENERGIA</v>
      </c>
      <c r="AD231" s="11" t="s">
        <v>6</v>
      </c>
      <c r="AE231" s="10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7" t="s">
        <v>184</v>
      </c>
      <c r="AQ231" s="100">
        <v>0</v>
      </c>
    </row>
    <row r="232" spans="1:43" hidden="1">
      <c r="A232" s="103">
        <v>45658</v>
      </c>
      <c r="B232" s="47" t="s">
        <v>290</v>
      </c>
      <c r="C232" s="2" t="s">
        <v>290</v>
      </c>
      <c r="D232" s="2" t="s">
        <v>294</v>
      </c>
      <c r="E232" s="4" t="s">
        <v>295</v>
      </c>
      <c r="F232" s="4" t="s">
        <v>173</v>
      </c>
      <c r="G232" s="5">
        <v>45658</v>
      </c>
      <c r="H232" s="31">
        <v>9417360</v>
      </c>
      <c r="I232" s="31">
        <v>9417360</v>
      </c>
      <c r="J232" s="52">
        <f t="shared" si="24"/>
        <v>9417.36</v>
      </c>
      <c r="K232" s="12">
        <v>45681</v>
      </c>
      <c r="L232" s="7" t="s">
        <v>175</v>
      </c>
      <c r="M232" s="34" t="s">
        <v>47</v>
      </c>
      <c r="N232" s="7" t="s">
        <v>220</v>
      </c>
      <c r="O232" s="7" t="s">
        <v>323</v>
      </c>
      <c r="P232" s="7" t="s">
        <v>291</v>
      </c>
      <c r="Q232" s="8" t="s">
        <v>179</v>
      </c>
      <c r="R232" s="9">
        <v>0</v>
      </c>
      <c r="S232" s="54">
        <f t="shared" si="21"/>
        <v>0</v>
      </c>
      <c r="T232" s="9">
        <v>0</v>
      </c>
      <c r="U232" s="54">
        <f t="shared" si="22"/>
        <v>0</v>
      </c>
      <c r="V232" s="11">
        <v>0</v>
      </c>
      <c r="W232" s="11" t="s">
        <v>180</v>
      </c>
      <c r="X232" s="9">
        <v>0</v>
      </c>
      <c r="Y232" s="9">
        <f t="shared" si="23"/>
        <v>0</v>
      </c>
      <c r="Z232" s="11">
        <v>0</v>
      </c>
      <c r="AA232" s="11" t="s">
        <v>292</v>
      </c>
      <c r="AB232" s="66" t="s">
        <v>221</v>
      </c>
      <c r="AC232" s="11" t="str">
        <f t="shared" si="25"/>
        <v>RORAIMA ENERGIA</v>
      </c>
      <c r="AD232" s="11" t="s">
        <v>6</v>
      </c>
      <c r="AE232" s="10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7" t="s">
        <v>184</v>
      </c>
      <c r="AQ232" s="100">
        <v>0</v>
      </c>
    </row>
    <row r="233" spans="1:43" hidden="1">
      <c r="A233" s="103">
        <v>45261</v>
      </c>
      <c r="B233" s="47" t="s">
        <v>290</v>
      </c>
      <c r="C233" s="2" t="s">
        <v>290</v>
      </c>
      <c r="D233" s="2" t="s">
        <v>294</v>
      </c>
      <c r="E233" s="4" t="s">
        <v>295</v>
      </c>
      <c r="F233" s="4" t="s">
        <v>173</v>
      </c>
      <c r="G233" s="5">
        <v>45261</v>
      </c>
      <c r="H233" s="31">
        <v>9417270</v>
      </c>
      <c r="I233" s="31">
        <v>9417270</v>
      </c>
      <c r="J233" s="52">
        <f t="shared" si="24"/>
        <v>9417.27</v>
      </c>
      <c r="K233" s="12">
        <v>45274</v>
      </c>
      <c r="L233" s="7" t="s">
        <v>175</v>
      </c>
      <c r="M233" s="34" t="s">
        <v>47</v>
      </c>
      <c r="N233" s="7" t="s">
        <v>220</v>
      </c>
      <c r="O233" s="7" t="s">
        <v>297</v>
      </c>
      <c r="P233" s="7" t="s">
        <v>291</v>
      </c>
      <c r="Q233" s="8" t="s">
        <v>179</v>
      </c>
      <c r="R233" s="9">
        <v>0</v>
      </c>
      <c r="S233" s="54">
        <f t="shared" si="21"/>
        <v>0</v>
      </c>
      <c r="T233" s="9">
        <v>0</v>
      </c>
      <c r="U233" s="54">
        <f t="shared" si="22"/>
        <v>0</v>
      </c>
      <c r="V233" s="11">
        <v>0</v>
      </c>
      <c r="W233" s="11" t="s">
        <v>180</v>
      </c>
      <c r="X233" s="9">
        <v>0</v>
      </c>
      <c r="Y233" s="9">
        <f t="shared" si="23"/>
        <v>0</v>
      </c>
      <c r="Z233" s="11">
        <v>0</v>
      </c>
      <c r="AA233" s="11" t="s">
        <v>292</v>
      </c>
      <c r="AB233" s="66" t="s">
        <v>221</v>
      </c>
      <c r="AC233" s="11" t="str">
        <f t="shared" si="25"/>
        <v>RORAIMA ENERGIA</v>
      </c>
      <c r="AD233" s="11" t="s">
        <v>6</v>
      </c>
      <c r="AE233" s="10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9">
        <v>0</v>
      </c>
      <c r="AO233" s="9">
        <v>0</v>
      </c>
      <c r="AP233" s="97" t="s">
        <v>184</v>
      </c>
      <c r="AQ233" s="100">
        <v>0</v>
      </c>
    </row>
    <row r="234" spans="1:43" hidden="1">
      <c r="A234" s="103">
        <v>44136</v>
      </c>
      <c r="B234" s="47" t="s">
        <v>198</v>
      </c>
      <c r="C234" s="2" t="s">
        <v>199</v>
      </c>
      <c r="D234" s="2" t="s">
        <v>228</v>
      </c>
      <c r="E234" s="4" t="s">
        <v>186</v>
      </c>
      <c r="F234" s="4" t="s">
        <v>173</v>
      </c>
      <c r="G234" s="5">
        <v>44136</v>
      </c>
      <c r="H234" s="31">
        <v>461943</v>
      </c>
      <c r="I234" s="31">
        <v>461943</v>
      </c>
      <c r="J234" s="52">
        <f t="shared" si="24"/>
        <v>461.94299999999998</v>
      </c>
      <c r="K234" s="12">
        <v>44154</v>
      </c>
      <c r="L234" s="7" t="s">
        <v>175</v>
      </c>
      <c r="M234" s="34" t="s">
        <v>39</v>
      </c>
      <c r="N234" s="7" t="s">
        <v>237</v>
      </c>
      <c r="O234" s="7" t="s">
        <v>284</v>
      </c>
      <c r="P234" s="7" t="s">
        <v>203</v>
      </c>
      <c r="Q234" s="8" t="s">
        <v>179</v>
      </c>
      <c r="R234" s="9">
        <v>46164300</v>
      </c>
      <c r="S234" s="54">
        <f t="shared" si="21"/>
        <v>46164.3</v>
      </c>
      <c r="T234" s="9">
        <v>41574870</v>
      </c>
      <c r="U234" s="54">
        <f t="shared" si="22"/>
        <v>41574.870000000003</v>
      </c>
      <c r="V234" s="10">
        <v>0.7000000017718202</v>
      </c>
      <c r="W234" s="11" t="s">
        <v>180</v>
      </c>
      <c r="X234" s="9">
        <v>-7661275.9000000004</v>
      </c>
      <c r="Y234" s="9">
        <f t="shared" si="23"/>
        <v>-7661.2759000000005</v>
      </c>
      <c r="Z234" s="10">
        <f>AF234/T234</f>
        <v>-0.16189999992784104</v>
      </c>
      <c r="AA234" s="11" t="s">
        <v>36</v>
      </c>
      <c r="AB234" s="66" t="s">
        <v>239</v>
      </c>
      <c r="AC234" s="11" t="str">
        <f t="shared" si="25"/>
        <v>ENERGISA</v>
      </c>
      <c r="AD234" s="11" t="s">
        <v>6</v>
      </c>
      <c r="AE234" s="10">
        <f>SUM(I234+I235+I236+I237+I238+I239+I240)/T234+Z234-100%</f>
        <v>-0.26189999992784108</v>
      </c>
      <c r="AF234" s="9">
        <v>-6730971.4500000002</v>
      </c>
      <c r="AG234" s="9">
        <f>AF234/1000</f>
        <v>-6730.97145</v>
      </c>
      <c r="AH234" s="79">
        <f>AE234*T234</f>
        <v>-10888458.450000003</v>
      </c>
      <c r="AI234" s="79">
        <f>AH234/1000</f>
        <v>-10888.458450000004</v>
      </c>
      <c r="AJ234" s="9">
        <f>AK234*1000</f>
        <v>41995080</v>
      </c>
      <c r="AK234" s="9">
        <v>41995.08</v>
      </c>
      <c r="AL234" s="9">
        <v>0.90900000000000003</v>
      </c>
      <c r="AM234" s="9">
        <f>AN234*1000</f>
        <v>4199220</v>
      </c>
      <c r="AN234" s="9">
        <v>4199.22</v>
      </c>
      <c r="AO234" s="9">
        <v>9.0999999999999998E-2</v>
      </c>
      <c r="AP234" s="97" t="s">
        <v>184</v>
      </c>
      <c r="AQ234" s="100">
        <v>0.91379999999999995</v>
      </c>
    </row>
    <row r="235" spans="1:43" hidden="1">
      <c r="A235" s="103">
        <v>44136</v>
      </c>
      <c r="B235" s="47" t="s">
        <v>198</v>
      </c>
      <c r="C235" s="2" t="s">
        <v>199</v>
      </c>
      <c r="D235" s="2" t="s">
        <v>200</v>
      </c>
      <c r="E235" s="4" t="s">
        <v>201</v>
      </c>
      <c r="F235" s="4" t="s">
        <v>173</v>
      </c>
      <c r="G235" s="5">
        <v>44136</v>
      </c>
      <c r="H235" s="31">
        <v>7853031</v>
      </c>
      <c r="I235" s="31">
        <v>7853031</v>
      </c>
      <c r="J235" s="52">
        <f t="shared" si="24"/>
        <v>7853.0309999999999</v>
      </c>
      <c r="K235" s="12">
        <v>44154</v>
      </c>
      <c r="L235" s="7" t="s">
        <v>175</v>
      </c>
      <c r="M235" s="34" t="s">
        <v>39</v>
      </c>
      <c r="N235" s="7" t="s">
        <v>237</v>
      </c>
      <c r="O235" s="7" t="s">
        <v>284</v>
      </c>
      <c r="P235" s="7" t="s">
        <v>203</v>
      </c>
      <c r="Q235" s="8" t="s">
        <v>179</v>
      </c>
      <c r="R235" s="9">
        <v>0</v>
      </c>
      <c r="S235" s="54">
        <f t="shared" si="21"/>
        <v>0</v>
      </c>
      <c r="T235" s="9">
        <v>0</v>
      </c>
      <c r="U235" s="54">
        <f t="shared" si="22"/>
        <v>0</v>
      </c>
      <c r="V235" s="11">
        <v>0</v>
      </c>
      <c r="W235" s="11" t="s">
        <v>180</v>
      </c>
      <c r="X235" s="9">
        <v>0</v>
      </c>
      <c r="Y235" s="9">
        <f t="shared" si="23"/>
        <v>0</v>
      </c>
      <c r="Z235" s="11">
        <v>0</v>
      </c>
      <c r="AA235" s="11" t="s">
        <v>36</v>
      </c>
      <c r="AB235" s="66" t="s">
        <v>239</v>
      </c>
      <c r="AC235" s="11" t="str">
        <f t="shared" si="25"/>
        <v>ENERGISA</v>
      </c>
      <c r="AD235" s="11" t="s">
        <v>6</v>
      </c>
      <c r="AE235" s="10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7" t="s">
        <v>184</v>
      </c>
      <c r="AQ235" s="100">
        <v>0</v>
      </c>
    </row>
    <row r="236" spans="1:43" hidden="1">
      <c r="A236" s="103">
        <v>44927</v>
      </c>
      <c r="B236" s="47" t="s">
        <v>198</v>
      </c>
      <c r="C236" s="2" t="s">
        <v>199</v>
      </c>
      <c r="D236" s="2" t="s">
        <v>200</v>
      </c>
      <c r="E236" s="4" t="s">
        <v>201</v>
      </c>
      <c r="F236" s="4" t="s">
        <v>173</v>
      </c>
      <c r="G236" s="5">
        <v>44927</v>
      </c>
      <c r="H236" s="31">
        <v>8314974</v>
      </c>
      <c r="I236" s="31">
        <v>8314974</v>
      </c>
      <c r="J236" s="52">
        <f t="shared" si="24"/>
        <v>8314.9740000000002</v>
      </c>
      <c r="K236" s="12">
        <v>44946</v>
      </c>
      <c r="L236" s="7" t="s">
        <v>175</v>
      </c>
      <c r="M236" s="34" t="s">
        <v>39</v>
      </c>
      <c r="N236" s="7" t="s">
        <v>237</v>
      </c>
      <c r="O236" s="7" t="s">
        <v>286</v>
      </c>
      <c r="P236" s="7" t="s">
        <v>203</v>
      </c>
      <c r="Q236" s="8" t="s">
        <v>179</v>
      </c>
      <c r="R236" s="9">
        <v>0</v>
      </c>
      <c r="S236" s="54">
        <f t="shared" si="21"/>
        <v>0</v>
      </c>
      <c r="T236" s="9">
        <v>0</v>
      </c>
      <c r="U236" s="54">
        <f t="shared" si="22"/>
        <v>0</v>
      </c>
      <c r="V236" s="11">
        <v>0</v>
      </c>
      <c r="W236" s="11" t="s">
        <v>180</v>
      </c>
      <c r="X236" s="9">
        <v>0</v>
      </c>
      <c r="Y236" s="9">
        <f t="shared" si="23"/>
        <v>0</v>
      </c>
      <c r="Z236" s="11">
        <v>0</v>
      </c>
      <c r="AA236" s="11" t="s">
        <v>36</v>
      </c>
      <c r="AB236" s="66" t="s">
        <v>239</v>
      </c>
      <c r="AC236" s="11" t="str">
        <f t="shared" si="25"/>
        <v>ENERGISA</v>
      </c>
      <c r="AD236" s="11" t="s">
        <v>6</v>
      </c>
      <c r="AE236" s="10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0</v>
      </c>
      <c r="AN236" s="9">
        <v>0</v>
      </c>
      <c r="AO236" s="9">
        <v>0</v>
      </c>
      <c r="AP236" s="97" t="s">
        <v>184</v>
      </c>
      <c r="AQ236" s="100">
        <v>0</v>
      </c>
    </row>
    <row r="237" spans="1:43" hidden="1">
      <c r="A237" s="103">
        <v>45078</v>
      </c>
      <c r="B237" s="47" t="s">
        <v>198</v>
      </c>
      <c r="C237" s="2" t="s">
        <v>199</v>
      </c>
      <c r="D237" s="2" t="s">
        <v>200</v>
      </c>
      <c r="E237" s="4" t="s">
        <v>201</v>
      </c>
      <c r="F237" s="4" t="s">
        <v>173</v>
      </c>
      <c r="G237" s="5">
        <v>45078</v>
      </c>
      <c r="H237" s="31">
        <v>8314974</v>
      </c>
      <c r="I237" s="31">
        <v>8314974</v>
      </c>
      <c r="J237" s="52">
        <f t="shared" si="24"/>
        <v>8314.9740000000002</v>
      </c>
      <c r="K237" s="12">
        <v>45100</v>
      </c>
      <c r="L237" s="7" t="s">
        <v>175</v>
      </c>
      <c r="M237" s="34" t="s">
        <v>39</v>
      </c>
      <c r="N237" s="7" t="s">
        <v>237</v>
      </c>
      <c r="O237" s="7" t="s">
        <v>296</v>
      </c>
      <c r="P237" s="7" t="s">
        <v>203</v>
      </c>
      <c r="Q237" s="8" t="s">
        <v>179</v>
      </c>
      <c r="R237" s="9">
        <v>0</v>
      </c>
      <c r="S237" s="54">
        <f t="shared" si="21"/>
        <v>0</v>
      </c>
      <c r="T237" s="9">
        <v>0</v>
      </c>
      <c r="U237" s="54">
        <f t="shared" si="22"/>
        <v>0</v>
      </c>
      <c r="V237" s="11">
        <v>0</v>
      </c>
      <c r="W237" s="11" t="s">
        <v>180</v>
      </c>
      <c r="X237" s="9">
        <v>0</v>
      </c>
      <c r="Y237" s="9">
        <f t="shared" si="23"/>
        <v>0</v>
      </c>
      <c r="Z237" s="11">
        <v>0</v>
      </c>
      <c r="AA237" s="11" t="s">
        <v>36</v>
      </c>
      <c r="AB237" s="66" t="s">
        <v>239</v>
      </c>
      <c r="AC237" s="11" t="str">
        <f t="shared" si="25"/>
        <v>ENERGISA</v>
      </c>
      <c r="AD237" s="11" t="s">
        <v>6</v>
      </c>
      <c r="AE237" s="10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0</v>
      </c>
      <c r="AP237" s="97" t="s">
        <v>184</v>
      </c>
      <c r="AQ237" s="100">
        <v>0</v>
      </c>
    </row>
    <row r="238" spans="1:43" hidden="1">
      <c r="A238" s="103">
        <v>45170</v>
      </c>
      <c r="B238" s="47" t="s">
        <v>198</v>
      </c>
      <c r="C238" s="2" t="s">
        <v>199</v>
      </c>
      <c r="D238" s="2" t="s">
        <v>200</v>
      </c>
      <c r="E238" s="4" t="s">
        <v>201</v>
      </c>
      <c r="F238" s="4" t="s">
        <v>173</v>
      </c>
      <c r="G238" s="5">
        <v>45144</v>
      </c>
      <c r="H238" s="92">
        <v>4157487</v>
      </c>
      <c r="I238" s="88">
        <v>4157487</v>
      </c>
      <c r="J238" s="52">
        <f t="shared" si="24"/>
        <v>4157.4870000000001</v>
      </c>
      <c r="K238" s="12">
        <v>45175</v>
      </c>
      <c r="L238" s="7" t="s">
        <v>175</v>
      </c>
      <c r="M238" s="34" t="s">
        <v>39</v>
      </c>
      <c r="N238" s="7" t="s">
        <v>237</v>
      </c>
      <c r="O238" s="84" t="s">
        <v>289</v>
      </c>
      <c r="P238" s="7" t="s">
        <v>203</v>
      </c>
      <c r="Q238" s="8" t="s">
        <v>179</v>
      </c>
      <c r="R238" s="9">
        <v>0</v>
      </c>
      <c r="S238" s="54">
        <f t="shared" si="21"/>
        <v>0</v>
      </c>
      <c r="T238" s="9">
        <v>0</v>
      </c>
      <c r="U238" s="54">
        <f t="shared" si="22"/>
        <v>0</v>
      </c>
      <c r="V238" s="11">
        <v>0</v>
      </c>
      <c r="W238" s="11" t="s">
        <v>180</v>
      </c>
      <c r="X238" s="9">
        <v>0</v>
      </c>
      <c r="Y238" s="9">
        <f t="shared" si="23"/>
        <v>0</v>
      </c>
      <c r="Z238" s="11">
        <v>0</v>
      </c>
      <c r="AA238" s="11" t="s">
        <v>36</v>
      </c>
      <c r="AB238" s="66" t="s">
        <v>239</v>
      </c>
      <c r="AC238" s="11" t="str">
        <f t="shared" si="25"/>
        <v>ENERGISA</v>
      </c>
      <c r="AD238" s="11" t="s">
        <v>6</v>
      </c>
      <c r="AE238" s="10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  <c r="AP238" s="97" t="s">
        <v>184</v>
      </c>
      <c r="AQ238" s="100">
        <v>0</v>
      </c>
    </row>
    <row r="239" spans="1:43" hidden="1">
      <c r="A239" s="103">
        <v>45170</v>
      </c>
      <c r="B239" s="47" t="s">
        <v>198</v>
      </c>
      <c r="C239" s="2" t="s">
        <v>199</v>
      </c>
      <c r="D239" s="2" t="s">
        <v>200</v>
      </c>
      <c r="E239" s="4" t="s">
        <v>201</v>
      </c>
      <c r="F239" s="4" t="s">
        <v>173</v>
      </c>
      <c r="G239" s="5">
        <v>45144</v>
      </c>
      <c r="H239" s="93">
        <v>4157487</v>
      </c>
      <c r="I239" s="91">
        <v>4157487</v>
      </c>
      <c r="J239" s="52">
        <f t="shared" si="24"/>
        <v>4157.4870000000001</v>
      </c>
      <c r="K239" s="12">
        <v>45175</v>
      </c>
      <c r="L239" s="7" t="s">
        <v>175</v>
      </c>
      <c r="M239" s="34" t="s">
        <v>39</v>
      </c>
      <c r="N239" s="7" t="s">
        <v>237</v>
      </c>
      <c r="O239" s="84" t="s">
        <v>297</v>
      </c>
      <c r="P239" s="7" t="s">
        <v>203</v>
      </c>
      <c r="Q239" s="8" t="s">
        <v>179</v>
      </c>
      <c r="R239" s="9">
        <v>0</v>
      </c>
      <c r="S239" s="54">
        <f t="shared" si="21"/>
        <v>0</v>
      </c>
      <c r="T239" s="9">
        <v>0</v>
      </c>
      <c r="U239" s="54">
        <f t="shared" si="22"/>
        <v>0</v>
      </c>
      <c r="V239" s="11">
        <v>0</v>
      </c>
      <c r="W239" s="11" t="s">
        <v>180</v>
      </c>
      <c r="X239" s="9">
        <v>0</v>
      </c>
      <c r="Y239" s="9">
        <f t="shared" si="23"/>
        <v>0</v>
      </c>
      <c r="Z239" s="11">
        <v>0</v>
      </c>
      <c r="AA239" s="11" t="s">
        <v>36</v>
      </c>
      <c r="AB239" s="66" t="s">
        <v>239</v>
      </c>
      <c r="AC239" s="11" t="str">
        <f t="shared" si="25"/>
        <v>ENERGISA</v>
      </c>
      <c r="AD239" s="11" t="s">
        <v>6</v>
      </c>
      <c r="AE239" s="10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7" t="s">
        <v>184</v>
      </c>
      <c r="AQ239" s="100">
        <v>0</v>
      </c>
    </row>
    <row r="240" spans="1:43" hidden="1">
      <c r="A240" s="103">
        <v>45170</v>
      </c>
      <c r="B240" s="47" t="s">
        <v>198</v>
      </c>
      <c r="C240" s="2" t="s">
        <v>199</v>
      </c>
      <c r="D240" s="2" t="s">
        <v>200</v>
      </c>
      <c r="E240" s="4" t="s">
        <v>201</v>
      </c>
      <c r="F240" s="4" t="s">
        <v>173</v>
      </c>
      <c r="G240" s="5">
        <v>45144</v>
      </c>
      <c r="H240" s="93">
        <v>4157487</v>
      </c>
      <c r="I240" s="91">
        <v>4157487</v>
      </c>
      <c r="J240" s="52">
        <f t="shared" si="24"/>
        <v>4157.4870000000001</v>
      </c>
      <c r="K240" s="12">
        <v>45175</v>
      </c>
      <c r="L240" s="7" t="s">
        <v>175</v>
      </c>
      <c r="M240" s="34" t="s">
        <v>39</v>
      </c>
      <c r="N240" s="7" t="s">
        <v>237</v>
      </c>
      <c r="O240" s="84" t="s">
        <v>323</v>
      </c>
      <c r="P240" s="7" t="s">
        <v>203</v>
      </c>
      <c r="Q240" s="8" t="s">
        <v>179</v>
      </c>
      <c r="R240" s="9">
        <v>0</v>
      </c>
      <c r="S240" s="54">
        <f t="shared" si="21"/>
        <v>0</v>
      </c>
      <c r="T240" s="9">
        <v>0</v>
      </c>
      <c r="U240" s="54">
        <f t="shared" si="22"/>
        <v>0</v>
      </c>
      <c r="V240" s="11">
        <v>0</v>
      </c>
      <c r="W240" s="11" t="s">
        <v>180</v>
      </c>
      <c r="X240" s="9">
        <v>0</v>
      </c>
      <c r="Y240" s="9">
        <f t="shared" si="23"/>
        <v>0</v>
      </c>
      <c r="Z240" s="11">
        <v>0</v>
      </c>
      <c r="AA240" s="11" t="s">
        <v>36</v>
      </c>
      <c r="AB240" s="66" t="s">
        <v>239</v>
      </c>
      <c r="AC240" s="11" t="str">
        <f t="shared" si="25"/>
        <v>ENERGISA</v>
      </c>
      <c r="AD240" s="11" t="s">
        <v>6</v>
      </c>
      <c r="AE240" s="10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7" t="s">
        <v>184</v>
      </c>
      <c r="AQ240" s="100">
        <v>0</v>
      </c>
    </row>
    <row r="241" spans="1:43" hidden="1">
      <c r="A241" s="103">
        <v>44166</v>
      </c>
      <c r="B241" s="47" t="s">
        <v>187</v>
      </c>
      <c r="C241" s="2" t="s">
        <v>211</v>
      </c>
      <c r="D241" s="2" t="s">
        <v>228</v>
      </c>
      <c r="E241" s="4" t="s">
        <v>186</v>
      </c>
      <c r="F241" s="4" t="s">
        <v>173</v>
      </c>
      <c r="G241" s="5">
        <v>44166</v>
      </c>
      <c r="H241" s="31">
        <v>355839579</v>
      </c>
      <c r="I241" s="31">
        <v>355839579</v>
      </c>
      <c r="J241" s="52">
        <f t="shared" si="24"/>
        <v>355839.57900000003</v>
      </c>
      <c r="K241" s="12">
        <v>44186</v>
      </c>
      <c r="L241" s="7" t="s">
        <v>175</v>
      </c>
      <c r="M241" s="34" t="s">
        <v>50</v>
      </c>
      <c r="N241" s="7" t="s">
        <v>237</v>
      </c>
      <c r="O241" s="7" t="s">
        <v>284</v>
      </c>
      <c r="P241" s="7" t="s">
        <v>214</v>
      </c>
      <c r="Q241" s="8" t="s">
        <v>179</v>
      </c>
      <c r="R241" s="9">
        <v>564391370</v>
      </c>
      <c r="S241" s="54">
        <f t="shared" si="21"/>
        <v>564391.37</v>
      </c>
      <c r="T241" s="9">
        <v>395073960</v>
      </c>
      <c r="U241" s="54">
        <f t="shared" si="22"/>
        <v>395073.96</v>
      </c>
      <c r="V241" s="10">
        <v>0.7</v>
      </c>
      <c r="W241" s="11" t="s">
        <v>180</v>
      </c>
      <c r="X241" s="9">
        <v>0</v>
      </c>
      <c r="Y241" s="9">
        <f t="shared" si="23"/>
        <v>0</v>
      </c>
      <c r="Z241" s="11">
        <v>0</v>
      </c>
      <c r="AA241" s="11" t="s">
        <v>292</v>
      </c>
      <c r="AB241" s="66" t="s">
        <v>239</v>
      </c>
      <c r="AC241" s="11" t="str">
        <f t="shared" si="25"/>
        <v>EQUATORIAL</v>
      </c>
      <c r="AD241" s="11" t="s">
        <v>6</v>
      </c>
      <c r="AE241" s="10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f>AK241*1000</f>
        <v>495270440</v>
      </c>
      <c r="AK241" s="9">
        <v>495270.44</v>
      </c>
      <c r="AL241" s="9">
        <v>0.877</v>
      </c>
      <c r="AM241" s="9">
        <f>AN241*1000</f>
        <v>69554290</v>
      </c>
      <c r="AN241" s="9">
        <v>69554.289999999994</v>
      </c>
      <c r="AO241" s="9">
        <v>0.123</v>
      </c>
      <c r="AP241" s="97" t="s">
        <v>309</v>
      </c>
      <c r="AQ241" s="100">
        <v>0.93920000000000003</v>
      </c>
    </row>
    <row r="242" spans="1:43" hidden="1">
      <c r="A242" s="103">
        <v>44440</v>
      </c>
      <c r="B242" s="47" t="s">
        <v>198</v>
      </c>
      <c r="C242" s="2" t="s">
        <v>264</v>
      </c>
      <c r="D242" s="2" t="s">
        <v>228</v>
      </c>
      <c r="E242" s="4" t="s">
        <v>186</v>
      </c>
      <c r="F242" s="4" t="s">
        <v>173</v>
      </c>
      <c r="G242" s="5">
        <v>44440</v>
      </c>
      <c r="H242" s="31">
        <v>68676120</v>
      </c>
      <c r="I242" s="31">
        <v>68676120</v>
      </c>
      <c r="J242" s="52">
        <f t="shared" ref="J242:J273" si="26">I242/1000</f>
        <v>68676.12</v>
      </c>
      <c r="K242" s="12">
        <v>44448</v>
      </c>
      <c r="L242" s="7" t="s">
        <v>175</v>
      </c>
      <c r="M242" s="34" t="s">
        <v>104</v>
      </c>
      <c r="N242" s="7" t="s">
        <v>229</v>
      </c>
      <c r="O242" s="7" t="s">
        <v>284</v>
      </c>
      <c r="P242" s="7" t="s">
        <v>251</v>
      </c>
      <c r="Q242" s="8" t="s">
        <v>179</v>
      </c>
      <c r="R242" s="9">
        <v>127178000</v>
      </c>
      <c r="S242" s="54">
        <f t="shared" si="21"/>
        <v>127178</v>
      </c>
      <c r="T242" s="9">
        <v>76306800</v>
      </c>
      <c r="U242" s="54">
        <f t="shared" si="22"/>
        <v>76306.8</v>
      </c>
      <c r="V242" s="10">
        <v>0.6</v>
      </c>
      <c r="W242" s="11" t="s">
        <v>180</v>
      </c>
      <c r="X242" s="9">
        <v>-7018141.7799999993</v>
      </c>
      <c r="Y242" s="9">
        <f t="shared" si="23"/>
        <v>-7018.141779999999</v>
      </c>
      <c r="Z242" s="10">
        <f>X242/T242</f>
        <v>-9.1972691555667382E-2</v>
      </c>
      <c r="AA242" s="11" t="s">
        <v>282</v>
      </c>
      <c r="AB242" s="66" t="s">
        <v>230</v>
      </c>
      <c r="AC242" s="11" t="str">
        <f t="shared" si="25"/>
        <v>ENERGISA</v>
      </c>
      <c r="AD242" s="11" t="s">
        <v>183</v>
      </c>
      <c r="AE242" s="10">
        <f>Z242</f>
        <v>-9.1972691555667382E-2</v>
      </c>
      <c r="AF242" s="9">
        <f>X242</f>
        <v>-7018141.7799999993</v>
      </c>
      <c r="AG242" s="9">
        <f>AF242/1000</f>
        <v>-7018.141779999999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0</v>
      </c>
      <c r="AP242" s="97" t="s">
        <v>184</v>
      </c>
      <c r="AQ242" s="100">
        <v>0</v>
      </c>
    </row>
    <row r="243" spans="1:43" hidden="1">
      <c r="A243" s="103">
        <v>44682</v>
      </c>
      <c r="B243" s="47" t="s">
        <v>198</v>
      </c>
      <c r="C243" s="2" t="s">
        <v>205</v>
      </c>
      <c r="D243" s="2" t="s">
        <v>228</v>
      </c>
      <c r="E243" s="4" t="s">
        <v>186</v>
      </c>
      <c r="F243" s="4" t="s">
        <v>173</v>
      </c>
      <c r="G243" s="5">
        <v>44682</v>
      </c>
      <c r="H243" s="31">
        <v>1657234</v>
      </c>
      <c r="I243" s="31">
        <v>1657234</v>
      </c>
      <c r="J243" s="52">
        <f t="shared" si="26"/>
        <v>1657.2339999999999</v>
      </c>
      <c r="K243" s="12">
        <v>44697</v>
      </c>
      <c r="L243" s="7" t="s">
        <v>175</v>
      </c>
      <c r="M243" s="34" t="s">
        <v>40</v>
      </c>
      <c r="N243" s="7" t="s">
        <v>237</v>
      </c>
      <c r="O243" s="7" t="s">
        <v>284</v>
      </c>
      <c r="P243" s="7" t="s">
        <v>209</v>
      </c>
      <c r="Q243" s="8" t="s">
        <v>179</v>
      </c>
      <c r="R243" s="9">
        <v>165723400</v>
      </c>
      <c r="S243" s="54">
        <f t="shared" si="21"/>
        <v>165723.4</v>
      </c>
      <c r="T243" s="9">
        <v>149151060</v>
      </c>
      <c r="U243" s="54">
        <f t="shared" si="22"/>
        <v>149151.06</v>
      </c>
      <c r="V243" s="10">
        <v>0.9</v>
      </c>
      <c r="W243" s="11" t="s">
        <v>180</v>
      </c>
      <c r="X243" s="9">
        <v>-27939141.27</v>
      </c>
      <c r="Y243" s="9">
        <f t="shared" si="23"/>
        <v>-27939.14127</v>
      </c>
      <c r="Z243" s="10">
        <f>AF243/T243</f>
        <v>-0.1645748074468931</v>
      </c>
      <c r="AA243" s="11" t="s">
        <v>36</v>
      </c>
      <c r="AB243" s="66" t="s">
        <v>239</v>
      </c>
      <c r="AC243" s="11" t="str">
        <f t="shared" si="25"/>
        <v>ENERGISA</v>
      </c>
      <c r="AD243" s="11" t="s">
        <v>6</v>
      </c>
      <c r="AE243" s="10">
        <f>SUM(I243+I244+I245+I246+I247)/T243-100%+Z243</f>
        <v>-0.46457480744689317</v>
      </c>
      <c r="AF243" s="9">
        <v>-24546506.98</v>
      </c>
      <c r="AG243" s="9">
        <f>AF243/1000</f>
        <v>-24546.506980000002</v>
      </c>
      <c r="AH243" s="79">
        <f>AE243*T243</f>
        <v>-69291824.980000004</v>
      </c>
      <c r="AI243" s="79">
        <f>AH243/1000</f>
        <v>-69291.824980000005</v>
      </c>
      <c r="AJ243" s="9">
        <f>AK243*1000</f>
        <v>151071370</v>
      </c>
      <c r="AK243" s="9">
        <v>151071.37</v>
      </c>
      <c r="AL243" s="9">
        <v>0.91200000000000003</v>
      </c>
      <c r="AM243" s="9">
        <f>AN243*1000</f>
        <v>14652030</v>
      </c>
      <c r="AN243" s="9">
        <v>14652.03</v>
      </c>
      <c r="AO243" s="9">
        <v>8.7999999999999995E-2</v>
      </c>
      <c r="AP243" s="97" t="s">
        <v>184</v>
      </c>
      <c r="AQ243" s="100">
        <v>0.76080000000000003</v>
      </c>
    </row>
    <row r="244" spans="1:43" hidden="1">
      <c r="A244" s="103">
        <v>44682</v>
      </c>
      <c r="B244" s="47" t="s">
        <v>198</v>
      </c>
      <c r="C244" s="2" t="s">
        <v>205</v>
      </c>
      <c r="D244" s="2" t="s">
        <v>206</v>
      </c>
      <c r="E244" s="4" t="s">
        <v>207</v>
      </c>
      <c r="F244" s="4" t="s">
        <v>173</v>
      </c>
      <c r="G244" s="5">
        <v>44682</v>
      </c>
      <c r="H244" s="31">
        <v>28172978</v>
      </c>
      <c r="I244" s="31">
        <v>28172978</v>
      </c>
      <c r="J244" s="52">
        <f t="shared" si="26"/>
        <v>28172.977999999999</v>
      </c>
      <c r="K244" s="12">
        <v>44697</v>
      </c>
      <c r="L244" s="7" t="s">
        <v>175</v>
      </c>
      <c r="M244" s="34" t="s">
        <v>40</v>
      </c>
      <c r="N244" s="7" t="s">
        <v>237</v>
      </c>
      <c r="O244" s="7" t="s">
        <v>284</v>
      </c>
      <c r="P244" s="7" t="s">
        <v>209</v>
      </c>
      <c r="Q244" s="8" t="s">
        <v>179</v>
      </c>
      <c r="R244" s="9">
        <v>0</v>
      </c>
      <c r="S244" s="54">
        <f t="shared" si="21"/>
        <v>0</v>
      </c>
      <c r="T244" s="9">
        <v>0</v>
      </c>
      <c r="U244" s="54">
        <f t="shared" si="22"/>
        <v>0</v>
      </c>
      <c r="V244" s="11">
        <v>0</v>
      </c>
      <c r="W244" s="11" t="s">
        <v>180</v>
      </c>
      <c r="X244" s="9">
        <v>0</v>
      </c>
      <c r="Y244" s="9">
        <f t="shared" si="23"/>
        <v>0</v>
      </c>
      <c r="Z244" s="11">
        <v>0</v>
      </c>
      <c r="AA244" s="11" t="s">
        <v>36</v>
      </c>
      <c r="AB244" s="66" t="s">
        <v>239</v>
      </c>
      <c r="AC244" s="11" t="str">
        <f t="shared" si="25"/>
        <v>ENERGISA</v>
      </c>
      <c r="AD244" s="11" t="s">
        <v>6</v>
      </c>
      <c r="AE244" s="10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7" t="s">
        <v>184</v>
      </c>
      <c r="AQ244" s="100">
        <v>0</v>
      </c>
    </row>
    <row r="245" spans="1:43" hidden="1">
      <c r="A245" s="103">
        <v>44835</v>
      </c>
      <c r="B245" s="47" t="s">
        <v>198</v>
      </c>
      <c r="C245" s="2" t="s">
        <v>205</v>
      </c>
      <c r="D245" s="2" t="s">
        <v>206</v>
      </c>
      <c r="E245" s="4" t="s">
        <v>207</v>
      </c>
      <c r="F245" s="4" t="s">
        <v>173</v>
      </c>
      <c r="G245" s="5">
        <v>44805</v>
      </c>
      <c r="H245" s="31">
        <v>29830212</v>
      </c>
      <c r="I245" s="31">
        <v>29830212</v>
      </c>
      <c r="J245" s="52">
        <f t="shared" si="26"/>
        <v>29830.212</v>
      </c>
      <c r="K245" s="12">
        <v>44841</v>
      </c>
      <c r="L245" s="7" t="s">
        <v>175</v>
      </c>
      <c r="M245" s="34" t="s">
        <v>40</v>
      </c>
      <c r="N245" s="7" t="s">
        <v>237</v>
      </c>
      <c r="O245" s="7" t="s">
        <v>287</v>
      </c>
      <c r="P245" s="7" t="s">
        <v>209</v>
      </c>
      <c r="Q245" s="8" t="s">
        <v>179</v>
      </c>
      <c r="R245" s="9">
        <v>0</v>
      </c>
      <c r="S245" s="54">
        <f t="shared" si="21"/>
        <v>0</v>
      </c>
      <c r="T245" s="9">
        <v>0</v>
      </c>
      <c r="U245" s="54">
        <f t="shared" si="22"/>
        <v>0</v>
      </c>
      <c r="V245" s="11">
        <v>0</v>
      </c>
      <c r="W245" s="11" t="s">
        <v>180</v>
      </c>
      <c r="X245" s="9">
        <v>0</v>
      </c>
      <c r="Y245" s="9">
        <f t="shared" si="23"/>
        <v>0</v>
      </c>
      <c r="Z245" s="11">
        <v>0</v>
      </c>
      <c r="AA245" s="11" t="s">
        <v>36</v>
      </c>
      <c r="AB245" s="66" t="s">
        <v>239</v>
      </c>
      <c r="AC245" s="11" t="str">
        <f t="shared" si="25"/>
        <v>ENERGISA</v>
      </c>
      <c r="AD245" s="11" t="s">
        <v>6</v>
      </c>
      <c r="AE245" s="10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7" t="s">
        <v>184</v>
      </c>
      <c r="AQ245" s="100">
        <v>0</v>
      </c>
    </row>
    <row r="246" spans="1:43" hidden="1">
      <c r="A246" s="103">
        <v>45170</v>
      </c>
      <c r="B246" s="47" t="s">
        <v>198</v>
      </c>
      <c r="C246" s="2" t="s">
        <v>205</v>
      </c>
      <c r="D246" s="2" t="s">
        <v>206</v>
      </c>
      <c r="E246" s="4" t="s">
        <v>207</v>
      </c>
      <c r="F246" s="4" t="s">
        <v>173</v>
      </c>
      <c r="G246" s="5">
        <v>45175</v>
      </c>
      <c r="H246" s="31">
        <v>22372659</v>
      </c>
      <c r="I246" s="31">
        <v>22372659</v>
      </c>
      <c r="J246" s="52">
        <f t="shared" si="26"/>
        <v>22372.659</v>
      </c>
      <c r="K246" s="12">
        <v>45198</v>
      </c>
      <c r="L246" s="7" t="s">
        <v>175</v>
      </c>
      <c r="M246" s="34" t="s">
        <v>40</v>
      </c>
      <c r="N246" s="7" t="s">
        <v>237</v>
      </c>
      <c r="O246" s="84" t="s">
        <v>296</v>
      </c>
      <c r="P246" s="7" t="s">
        <v>209</v>
      </c>
      <c r="Q246" s="8" t="s">
        <v>179</v>
      </c>
      <c r="R246" s="9">
        <v>0</v>
      </c>
      <c r="S246" s="54">
        <f t="shared" si="21"/>
        <v>0</v>
      </c>
      <c r="T246" s="9">
        <v>0</v>
      </c>
      <c r="U246" s="54">
        <f t="shared" si="22"/>
        <v>0</v>
      </c>
      <c r="V246" s="11">
        <v>0</v>
      </c>
      <c r="W246" s="11" t="s">
        <v>180</v>
      </c>
      <c r="X246" s="9">
        <v>0</v>
      </c>
      <c r="Y246" s="9">
        <f t="shared" si="23"/>
        <v>0</v>
      </c>
      <c r="Z246" s="11">
        <v>0</v>
      </c>
      <c r="AA246" s="11" t="s">
        <v>36</v>
      </c>
      <c r="AB246" s="66" t="s">
        <v>239</v>
      </c>
      <c r="AC246" s="11" t="str">
        <f t="shared" si="25"/>
        <v>ENERGISA</v>
      </c>
      <c r="AD246" s="11" t="s">
        <v>6</v>
      </c>
      <c r="AE246" s="10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>
        <v>0</v>
      </c>
      <c r="AN246" s="9">
        <v>0</v>
      </c>
      <c r="AO246" s="9">
        <v>0</v>
      </c>
      <c r="AP246" s="97" t="s">
        <v>184</v>
      </c>
      <c r="AQ246" s="100">
        <v>0</v>
      </c>
    </row>
    <row r="247" spans="1:43" hidden="1">
      <c r="A247" s="103">
        <v>45170</v>
      </c>
      <c r="B247" s="47" t="s">
        <v>198</v>
      </c>
      <c r="C247" s="2" t="s">
        <v>205</v>
      </c>
      <c r="D247" s="2" t="s">
        <v>206</v>
      </c>
      <c r="E247" s="4" t="s">
        <v>207</v>
      </c>
      <c r="F247" s="4" t="s">
        <v>173</v>
      </c>
      <c r="G247" s="5">
        <v>45175</v>
      </c>
      <c r="H247" s="31">
        <v>22372659</v>
      </c>
      <c r="I247" s="31">
        <v>22372659</v>
      </c>
      <c r="J247" s="52">
        <f t="shared" si="26"/>
        <v>22372.659</v>
      </c>
      <c r="K247" s="12">
        <v>45198</v>
      </c>
      <c r="L247" s="7" t="s">
        <v>175</v>
      </c>
      <c r="M247" s="34" t="s">
        <v>40</v>
      </c>
      <c r="N247" s="7" t="s">
        <v>237</v>
      </c>
      <c r="O247" s="84" t="s">
        <v>289</v>
      </c>
      <c r="P247" s="7" t="s">
        <v>209</v>
      </c>
      <c r="Q247" s="8" t="s">
        <v>179</v>
      </c>
      <c r="R247" s="9">
        <v>0</v>
      </c>
      <c r="S247" s="54">
        <f t="shared" si="21"/>
        <v>0</v>
      </c>
      <c r="T247" s="9">
        <v>0</v>
      </c>
      <c r="U247" s="54">
        <f t="shared" si="22"/>
        <v>0</v>
      </c>
      <c r="V247" s="11">
        <v>0</v>
      </c>
      <c r="W247" s="11" t="s">
        <v>180</v>
      </c>
      <c r="X247" s="9">
        <v>0</v>
      </c>
      <c r="Y247" s="9">
        <f t="shared" si="23"/>
        <v>0</v>
      </c>
      <c r="Z247" s="11">
        <v>0</v>
      </c>
      <c r="AA247" s="11" t="s">
        <v>36</v>
      </c>
      <c r="AB247" s="66" t="s">
        <v>239</v>
      </c>
      <c r="AC247" s="11" t="str">
        <f t="shared" si="25"/>
        <v>ENERGISA</v>
      </c>
      <c r="AD247" s="11" t="s">
        <v>6</v>
      </c>
      <c r="AE247" s="10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7" t="s">
        <v>184</v>
      </c>
      <c r="AQ247" s="100">
        <v>0</v>
      </c>
    </row>
    <row r="248" spans="1:43" hidden="1">
      <c r="A248" s="103">
        <v>44896</v>
      </c>
      <c r="B248" s="47" t="s">
        <v>187</v>
      </c>
      <c r="C248" s="2" t="s">
        <v>278</v>
      </c>
      <c r="D248" s="2" t="s">
        <v>228</v>
      </c>
      <c r="E248" s="4" t="s">
        <v>186</v>
      </c>
      <c r="F248" s="4" t="s">
        <v>173</v>
      </c>
      <c r="G248" s="5">
        <v>44896</v>
      </c>
      <c r="H248" s="31">
        <v>166515.4</v>
      </c>
      <c r="I248" s="31">
        <v>166515.4</v>
      </c>
      <c r="J248" s="52">
        <f t="shared" si="26"/>
        <v>166.5154</v>
      </c>
      <c r="K248" s="12">
        <v>44924</v>
      </c>
      <c r="L248" s="7" t="s">
        <v>175</v>
      </c>
      <c r="M248" s="34" t="s">
        <v>38</v>
      </c>
      <c r="N248" s="7" t="s">
        <v>330</v>
      </c>
      <c r="O248" s="7" t="s">
        <v>284</v>
      </c>
      <c r="P248" s="7" t="s">
        <v>281</v>
      </c>
      <c r="Q248" s="8" t="s">
        <v>179</v>
      </c>
      <c r="R248" s="9">
        <v>13302070</v>
      </c>
      <c r="S248" s="54">
        <f t="shared" si="21"/>
        <v>13302.07</v>
      </c>
      <c r="T248" s="9">
        <v>9311450</v>
      </c>
      <c r="U248" s="54">
        <f t="shared" si="22"/>
        <v>9311.4500000000007</v>
      </c>
      <c r="V248" s="10">
        <v>0.70000007517626961</v>
      </c>
      <c r="W248" s="11" t="s">
        <v>180</v>
      </c>
      <c r="X248" s="9">
        <v>-2504378.4300000002</v>
      </c>
      <c r="Y248" s="9">
        <f t="shared" si="23"/>
        <v>-2504.3784300000002</v>
      </c>
      <c r="Z248" s="10">
        <v>-1</v>
      </c>
      <c r="AA248" s="11" t="s">
        <v>36</v>
      </c>
      <c r="AB248" s="11" t="s">
        <v>331</v>
      </c>
      <c r="AC248" s="11" t="str">
        <f t="shared" si="25"/>
        <v>EQUATORIAL</v>
      </c>
      <c r="AD248" s="11" t="s">
        <v>6</v>
      </c>
      <c r="AE248" s="10">
        <v>-1</v>
      </c>
      <c r="AF248" s="9">
        <v>-2331216</v>
      </c>
      <c r="AG248" s="9">
        <f>AF248/1000</f>
        <v>-2331.2159999999999</v>
      </c>
      <c r="AH248" s="79">
        <f>AE248*T248</f>
        <v>-9311450</v>
      </c>
      <c r="AI248" s="79">
        <f>AH248/1000</f>
        <v>-9311.4500000000007</v>
      </c>
      <c r="AJ248" s="9">
        <f>AK248*1000</f>
        <v>11666170</v>
      </c>
      <c r="AK248" s="9">
        <v>11666.17</v>
      </c>
      <c r="AL248" s="9">
        <v>0.877</v>
      </c>
      <c r="AM248" s="9">
        <f>AN248*1000</f>
        <v>1635900</v>
      </c>
      <c r="AN248" s="9">
        <v>1635.9</v>
      </c>
      <c r="AO248" s="9">
        <v>0.123</v>
      </c>
      <c r="AP248" s="97" t="s">
        <v>184</v>
      </c>
      <c r="AQ248" s="100">
        <v>0.99639999999999995</v>
      </c>
    </row>
    <row r="249" spans="1:43" hidden="1">
      <c r="A249" s="103">
        <v>44896</v>
      </c>
      <c r="B249" s="47" t="s">
        <v>187</v>
      </c>
      <c r="C249" s="2" t="s">
        <v>278</v>
      </c>
      <c r="D249" s="2" t="s">
        <v>279</v>
      </c>
      <c r="E249" s="4" t="s">
        <v>280</v>
      </c>
      <c r="F249" s="4" t="s">
        <v>173</v>
      </c>
      <c r="G249" s="5">
        <v>44896</v>
      </c>
      <c r="H249" s="31">
        <v>2164700.6</v>
      </c>
      <c r="I249" s="31">
        <v>2164700.6</v>
      </c>
      <c r="J249" s="52">
        <f t="shared" si="26"/>
        <v>2164.7006000000001</v>
      </c>
      <c r="K249" s="12">
        <v>44924</v>
      </c>
      <c r="L249" s="7" t="s">
        <v>175</v>
      </c>
      <c r="M249" s="34" t="s">
        <v>38</v>
      </c>
      <c r="N249" s="7" t="s">
        <v>330</v>
      </c>
      <c r="O249" s="7" t="s">
        <v>284</v>
      </c>
      <c r="P249" s="7" t="s">
        <v>281</v>
      </c>
      <c r="Q249" s="8" t="s">
        <v>179</v>
      </c>
      <c r="R249" s="9">
        <v>0</v>
      </c>
      <c r="S249" s="54">
        <f t="shared" si="21"/>
        <v>0</v>
      </c>
      <c r="T249" s="9">
        <v>0</v>
      </c>
      <c r="U249" s="54">
        <f t="shared" si="22"/>
        <v>0</v>
      </c>
      <c r="V249" s="11">
        <v>0</v>
      </c>
      <c r="W249" s="11" t="s">
        <v>180</v>
      </c>
      <c r="X249" s="9">
        <v>0</v>
      </c>
      <c r="Y249" s="9">
        <f t="shared" si="23"/>
        <v>0</v>
      </c>
      <c r="Z249" s="11">
        <v>0</v>
      </c>
      <c r="AA249" s="11" t="s">
        <v>36</v>
      </c>
      <c r="AB249" s="11" t="s">
        <v>331</v>
      </c>
      <c r="AC249" s="11" t="str">
        <f t="shared" si="25"/>
        <v>EQUATORIAL</v>
      </c>
      <c r="AD249" s="11" t="s">
        <v>6</v>
      </c>
      <c r="AE249" s="10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9">
        <v>0</v>
      </c>
      <c r="AO249" s="9">
        <v>0</v>
      </c>
      <c r="AP249" s="97" t="s">
        <v>184</v>
      </c>
      <c r="AQ249" s="100">
        <v>0</v>
      </c>
    </row>
    <row r="250" spans="1:43" hidden="1">
      <c r="A250" s="103">
        <v>44470</v>
      </c>
      <c r="B250" s="47" t="s">
        <v>226</v>
      </c>
      <c r="C250" s="2" t="s">
        <v>313</v>
      </c>
      <c r="D250" s="2" t="s">
        <v>228</v>
      </c>
      <c r="E250" s="4" t="s">
        <v>186</v>
      </c>
      <c r="F250" s="4" t="s">
        <v>173</v>
      </c>
      <c r="G250" s="5">
        <v>44470</v>
      </c>
      <c r="H250" s="31">
        <v>544827213</v>
      </c>
      <c r="I250" s="31">
        <v>544827213</v>
      </c>
      <c r="J250" s="52">
        <f t="shared" si="26"/>
        <v>544827.21299999999</v>
      </c>
      <c r="K250" s="12">
        <v>44476</v>
      </c>
      <c r="L250" s="7" t="s">
        <v>175</v>
      </c>
      <c r="M250" s="34" t="s">
        <v>8</v>
      </c>
      <c r="N250" s="7" t="s">
        <v>330</v>
      </c>
      <c r="O250" s="7" t="s">
        <v>284</v>
      </c>
      <c r="P250" s="7" t="s">
        <v>315</v>
      </c>
      <c r="Q250" s="8" t="s">
        <v>179</v>
      </c>
      <c r="R250" s="9">
        <v>931328570</v>
      </c>
      <c r="S250" s="54">
        <f t="shared" si="21"/>
        <v>931328.57</v>
      </c>
      <c r="T250" s="9">
        <v>605363570</v>
      </c>
      <c r="U250" s="54">
        <f t="shared" si="22"/>
        <v>605363.56999999995</v>
      </c>
      <c r="V250" s="10">
        <v>0.64999999946313258</v>
      </c>
      <c r="W250" s="11" t="s">
        <v>180</v>
      </c>
      <c r="X250" s="9">
        <v>0</v>
      </c>
      <c r="Y250" s="9">
        <f t="shared" si="23"/>
        <v>0</v>
      </c>
      <c r="Z250" s="11">
        <v>0</v>
      </c>
      <c r="AA250" s="11" t="s">
        <v>310</v>
      </c>
      <c r="AB250" s="11" t="s">
        <v>331</v>
      </c>
      <c r="AC250" s="11" t="str">
        <f t="shared" si="25"/>
        <v xml:space="preserve">NEOENERGIA </v>
      </c>
      <c r="AD250" s="11" t="s">
        <v>6</v>
      </c>
      <c r="AE250" s="10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f>AK250*1000</f>
        <v>809850570</v>
      </c>
      <c r="AK250" s="9">
        <v>809850.57</v>
      </c>
      <c r="AL250" s="9">
        <v>0.87</v>
      </c>
      <c r="AM250" s="9">
        <f>AN250*1000</f>
        <v>121478000</v>
      </c>
      <c r="AN250" s="9">
        <v>121478</v>
      </c>
      <c r="AO250" s="9">
        <v>0.13</v>
      </c>
      <c r="AP250" s="97" t="s">
        <v>184</v>
      </c>
      <c r="AQ250" s="100">
        <v>0.90910000000000002</v>
      </c>
    </row>
    <row r="251" spans="1:43" hidden="1">
      <c r="A251" s="103">
        <v>44562</v>
      </c>
      <c r="B251" s="47" t="s">
        <v>252</v>
      </c>
      <c r="C251" s="2" t="s">
        <v>252</v>
      </c>
      <c r="D251" s="2" t="s">
        <v>228</v>
      </c>
      <c r="E251" s="4" t="s">
        <v>186</v>
      </c>
      <c r="F251" s="4" t="s">
        <v>173</v>
      </c>
      <c r="G251" s="5">
        <v>44562</v>
      </c>
      <c r="H251" s="31">
        <v>2943602.8</v>
      </c>
      <c r="I251" s="31">
        <v>2943602.8</v>
      </c>
      <c r="J251" s="52">
        <f t="shared" si="26"/>
        <v>2943.6027999999997</v>
      </c>
      <c r="K251" s="12">
        <v>44581</v>
      </c>
      <c r="L251" s="7" t="s">
        <v>175</v>
      </c>
      <c r="M251" s="34" t="s">
        <v>45</v>
      </c>
      <c r="N251" s="7" t="s">
        <v>320</v>
      </c>
      <c r="O251" s="7" t="s">
        <v>298</v>
      </c>
      <c r="P251" s="7" t="s">
        <v>255</v>
      </c>
      <c r="Q251" s="8" t="s">
        <v>179</v>
      </c>
      <c r="R251" s="9">
        <v>294243500</v>
      </c>
      <c r="S251" s="54">
        <f t="shared" si="21"/>
        <v>294243.5</v>
      </c>
      <c r="T251" s="9">
        <v>264819150</v>
      </c>
      <c r="U251" s="54">
        <f t="shared" si="22"/>
        <v>264819.15000000002</v>
      </c>
      <c r="V251" s="10">
        <v>0.9</v>
      </c>
      <c r="W251" s="11" t="s">
        <v>180</v>
      </c>
      <c r="X251" s="9">
        <f>AF251</f>
        <v>-10036238.550000001</v>
      </c>
      <c r="Y251" s="9">
        <f t="shared" si="23"/>
        <v>-10036.23855</v>
      </c>
      <c r="Z251" s="10">
        <f>X251/T251</f>
        <v>-3.7898462214685007E-2</v>
      </c>
      <c r="AA251" s="11" t="s">
        <v>36</v>
      </c>
      <c r="AB251" s="11" t="s">
        <v>321</v>
      </c>
      <c r="AC251" s="11" t="str">
        <f t="shared" si="25"/>
        <v>AMAZONAS ENERGIA</v>
      </c>
      <c r="AD251" s="11" t="s">
        <v>6</v>
      </c>
      <c r="AE251" s="10">
        <f>SUM(I251+I252+I253+I254+I255+I256+I257)/T251-100%+Z251</f>
        <v>-0.13754127505507058</v>
      </c>
      <c r="AF251" s="9">
        <v>-10036238.550000001</v>
      </c>
      <c r="AG251" s="9">
        <f>AF251/1000</f>
        <v>-10036.23855</v>
      </c>
      <c r="AH251" s="9">
        <f>AE251*T251</f>
        <v>-36423563.549999997</v>
      </c>
      <c r="AI251" s="9">
        <f>AH251/1000</f>
        <v>-36423.563549999999</v>
      </c>
      <c r="AJ251" s="9">
        <f>AK251*1000</f>
        <v>267494130</v>
      </c>
      <c r="AK251" s="9">
        <v>267494.13</v>
      </c>
      <c r="AL251" s="9">
        <v>0.9</v>
      </c>
      <c r="AM251" s="9">
        <f>AN251*1000</f>
        <v>26749370</v>
      </c>
      <c r="AN251" s="9">
        <v>26749.37</v>
      </c>
      <c r="AO251" s="9">
        <v>9.0999999999999998E-2</v>
      </c>
      <c r="AP251" s="97" t="s">
        <v>184</v>
      </c>
      <c r="AQ251" s="100">
        <v>0.97060000000000002</v>
      </c>
    </row>
    <row r="252" spans="1:43" hidden="1">
      <c r="A252" s="103">
        <v>44562</v>
      </c>
      <c r="B252" s="47" t="s">
        <v>252</v>
      </c>
      <c r="C252" s="2" t="s">
        <v>252</v>
      </c>
      <c r="D252" s="2" t="s">
        <v>253</v>
      </c>
      <c r="E252" s="4" t="s">
        <v>254</v>
      </c>
      <c r="F252" s="4" t="s">
        <v>173</v>
      </c>
      <c r="G252" s="5">
        <v>44562</v>
      </c>
      <c r="H252" s="31">
        <v>50041247.200000003</v>
      </c>
      <c r="I252" s="31">
        <v>50041247.200000003</v>
      </c>
      <c r="J252" s="52">
        <f t="shared" si="26"/>
        <v>50041.247200000005</v>
      </c>
      <c r="K252" s="12">
        <v>44581</v>
      </c>
      <c r="L252" s="7" t="s">
        <v>175</v>
      </c>
      <c r="M252" s="34" t="s">
        <v>45</v>
      </c>
      <c r="N252" s="7" t="s">
        <v>320</v>
      </c>
      <c r="O252" s="7" t="s">
        <v>298</v>
      </c>
      <c r="P252" s="7" t="s">
        <v>255</v>
      </c>
      <c r="Q252" s="8" t="s">
        <v>179</v>
      </c>
      <c r="R252" s="9">
        <v>0</v>
      </c>
      <c r="S252" s="54">
        <f t="shared" si="21"/>
        <v>0</v>
      </c>
      <c r="T252" s="9">
        <v>0</v>
      </c>
      <c r="U252" s="54">
        <f t="shared" si="22"/>
        <v>0</v>
      </c>
      <c r="V252" s="11">
        <v>0</v>
      </c>
      <c r="W252" s="11" t="s">
        <v>180</v>
      </c>
      <c r="X252" s="9">
        <v>0</v>
      </c>
      <c r="Y252" s="9">
        <f t="shared" si="23"/>
        <v>0</v>
      </c>
      <c r="Z252" s="11">
        <v>0</v>
      </c>
      <c r="AA252" s="11" t="s">
        <v>36</v>
      </c>
      <c r="AB252" s="11" t="s">
        <v>321</v>
      </c>
      <c r="AC252" s="11" t="str">
        <f t="shared" si="25"/>
        <v>AMAZONAS ENERGIA</v>
      </c>
      <c r="AD252" s="11" t="s">
        <v>6</v>
      </c>
      <c r="AE252" s="10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7" t="s">
        <v>184</v>
      </c>
      <c r="AQ252" s="100">
        <v>0</v>
      </c>
    </row>
    <row r="253" spans="1:43" hidden="1">
      <c r="A253" s="103">
        <v>44866</v>
      </c>
      <c r="B253" s="47" t="s">
        <v>252</v>
      </c>
      <c r="C253" s="2" t="s">
        <v>252</v>
      </c>
      <c r="D253" s="2" t="s">
        <v>253</v>
      </c>
      <c r="E253" s="4" t="s">
        <v>254</v>
      </c>
      <c r="F253" s="4" t="s">
        <v>173</v>
      </c>
      <c r="G253" s="5">
        <v>44866</v>
      </c>
      <c r="H253" s="31">
        <v>52984850</v>
      </c>
      <c r="I253" s="31">
        <v>52984850</v>
      </c>
      <c r="J253" s="52">
        <f t="shared" si="26"/>
        <v>52984.85</v>
      </c>
      <c r="K253" s="12">
        <v>44890</v>
      </c>
      <c r="L253" s="7" t="s">
        <v>175</v>
      </c>
      <c r="M253" s="34" t="s">
        <v>45</v>
      </c>
      <c r="N253" s="7" t="s">
        <v>320</v>
      </c>
      <c r="O253" s="7" t="s">
        <v>287</v>
      </c>
      <c r="P253" s="7" t="s">
        <v>255</v>
      </c>
      <c r="Q253" s="8" t="s">
        <v>179</v>
      </c>
      <c r="R253" s="9">
        <v>0</v>
      </c>
      <c r="S253" s="54">
        <f t="shared" si="21"/>
        <v>0</v>
      </c>
      <c r="T253" s="9">
        <v>0</v>
      </c>
      <c r="U253" s="54">
        <f t="shared" si="22"/>
        <v>0</v>
      </c>
      <c r="V253" s="11">
        <v>0</v>
      </c>
      <c r="W253" s="11" t="s">
        <v>180</v>
      </c>
      <c r="X253" s="9">
        <v>0</v>
      </c>
      <c r="Y253" s="9">
        <f t="shared" si="23"/>
        <v>0</v>
      </c>
      <c r="Z253" s="11">
        <v>0</v>
      </c>
      <c r="AA253" s="11" t="s">
        <v>36</v>
      </c>
      <c r="AB253" s="11" t="s">
        <v>321</v>
      </c>
      <c r="AC253" s="11" t="str">
        <f t="shared" si="25"/>
        <v>AMAZONAS ENERGIA</v>
      </c>
      <c r="AD253" s="11" t="s">
        <v>6</v>
      </c>
      <c r="AE253" s="10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7" t="s">
        <v>184</v>
      </c>
      <c r="AQ253" s="100">
        <v>0</v>
      </c>
    </row>
    <row r="254" spans="1:43" hidden="1">
      <c r="A254" s="103">
        <v>45017</v>
      </c>
      <c r="B254" s="47" t="s">
        <v>252</v>
      </c>
      <c r="C254" s="2" t="s">
        <v>252</v>
      </c>
      <c r="D254" s="2" t="s">
        <v>253</v>
      </c>
      <c r="E254" s="4" t="s">
        <v>254</v>
      </c>
      <c r="F254" s="4" t="s">
        <v>173</v>
      </c>
      <c r="G254" s="5">
        <v>45017</v>
      </c>
      <c r="H254" s="31">
        <v>52984850</v>
      </c>
      <c r="I254" s="31">
        <v>52984850</v>
      </c>
      <c r="J254" s="52">
        <f t="shared" si="26"/>
        <v>52984.85</v>
      </c>
      <c r="K254" s="12">
        <v>45036</v>
      </c>
      <c r="L254" s="7" t="s">
        <v>175</v>
      </c>
      <c r="M254" s="34" t="s">
        <v>45</v>
      </c>
      <c r="N254" s="7" t="s">
        <v>320</v>
      </c>
      <c r="O254" s="7" t="s">
        <v>288</v>
      </c>
      <c r="P254" s="7" t="s">
        <v>255</v>
      </c>
      <c r="Q254" s="8" t="s">
        <v>179</v>
      </c>
      <c r="R254" s="9">
        <v>0</v>
      </c>
      <c r="S254" s="54">
        <f t="shared" si="21"/>
        <v>0</v>
      </c>
      <c r="T254" s="9">
        <v>0</v>
      </c>
      <c r="U254" s="54">
        <f t="shared" si="22"/>
        <v>0</v>
      </c>
      <c r="V254" s="11">
        <v>0</v>
      </c>
      <c r="W254" s="11" t="s">
        <v>180</v>
      </c>
      <c r="X254" s="9">
        <v>0</v>
      </c>
      <c r="Y254" s="9">
        <f t="shared" si="23"/>
        <v>0</v>
      </c>
      <c r="Z254" s="11">
        <v>0</v>
      </c>
      <c r="AA254" s="11" t="s">
        <v>36</v>
      </c>
      <c r="AB254" s="11" t="s">
        <v>321</v>
      </c>
      <c r="AC254" s="11" t="str">
        <f t="shared" si="25"/>
        <v>AMAZONAS ENERGIA</v>
      </c>
      <c r="AD254" s="11" t="s">
        <v>6</v>
      </c>
      <c r="AE254" s="10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7" t="s">
        <v>184</v>
      </c>
      <c r="AQ254" s="100">
        <v>0</v>
      </c>
    </row>
    <row r="255" spans="1:43" hidden="1">
      <c r="A255" s="103">
        <v>45139</v>
      </c>
      <c r="B255" s="47" t="s">
        <v>252</v>
      </c>
      <c r="C255" s="2" t="s">
        <v>252</v>
      </c>
      <c r="D255" s="2" t="s">
        <v>253</v>
      </c>
      <c r="E255" s="4" t="s">
        <v>254</v>
      </c>
      <c r="F255" s="4" t="s">
        <v>173</v>
      </c>
      <c r="G255" s="5">
        <v>45139</v>
      </c>
      <c r="H255" s="31">
        <v>26492425</v>
      </c>
      <c r="I255" s="31">
        <v>26492425</v>
      </c>
      <c r="J255" s="52">
        <f t="shared" si="26"/>
        <v>26492.424999999999</v>
      </c>
      <c r="K255" s="12">
        <v>45163</v>
      </c>
      <c r="L255" s="7" t="s">
        <v>175</v>
      </c>
      <c r="M255" s="34" t="s">
        <v>45</v>
      </c>
      <c r="N255" s="7" t="s">
        <v>320</v>
      </c>
      <c r="O255" s="7" t="s">
        <v>289</v>
      </c>
      <c r="P255" s="7" t="s">
        <v>255</v>
      </c>
      <c r="Q255" s="8" t="s">
        <v>179</v>
      </c>
      <c r="R255" s="9">
        <v>0</v>
      </c>
      <c r="S255" s="54">
        <f t="shared" si="21"/>
        <v>0</v>
      </c>
      <c r="T255" s="9">
        <v>0</v>
      </c>
      <c r="U255" s="54">
        <f t="shared" si="22"/>
        <v>0</v>
      </c>
      <c r="V255" s="11">
        <v>0</v>
      </c>
      <c r="W255" s="11" t="s">
        <v>180</v>
      </c>
      <c r="X255" s="9">
        <v>0</v>
      </c>
      <c r="Y255" s="9">
        <f t="shared" si="23"/>
        <v>0</v>
      </c>
      <c r="Z255" s="11">
        <v>0</v>
      </c>
      <c r="AA255" s="11" t="s">
        <v>36</v>
      </c>
      <c r="AB255" s="11" t="s">
        <v>321</v>
      </c>
      <c r="AC255" s="11" t="str">
        <f t="shared" si="25"/>
        <v>AMAZONAS ENERGIA</v>
      </c>
      <c r="AD255" s="11" t="s">
        <v>6</v>
      </c>
      <c r="AE255" s="10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7" t="s">
        <v>184</v>
      </c>
      <c r="AQ255" s="100">
        <v>0</v>
      </c>
    </row>
    <row r="256" spans="1:43" hidden="1">
      <c r="A256" s="103">
        <v>45200</v>
      </c>
      <c r="B256" s="47" t="s">
        <v>252</v>
      </c>
      <c r="C256" s="2" t="s">
        <v>252</v>
      </c>
      <c r="D256" s="2" t="s">
        <v>253</v>
      </c>
      <c r="E256" s="4" t="s">
        <v>254</v>
      </c>
      <c r="F256" s="4" t="s">
        <v>173</v>
      </c>
      <c r="G256" s="5">
        <v>45171</v>
      </c>
      <c r="H256" s="31">
        <v>26492425</v>
      </c>
      <c r="I256" s="31">
        <v>26492425</v>
      </c>
      <c r="J256" s="52">
        <f t="shared" si="26"/>
        <v>26492.424999999999</v>
      </c>
      <c r="K256" s="12">
        <v>45208</v>
      </c>
      <c r="L256" s="7" t="s">
        <v>175</v>
      </c>
      <c r="M256" s="34" t="s">
        <v>45</v>
      </c>
      <c r="N256" s="7" t="s">
        <v>320</v>
      </c>
      <c r="O256" s="7" t="s">
        <v>297</v>
      </c>
      <c r="P256" s="7" t="s">
        <v>255</v>
      </c>
      <c r="Q256" s="8" t="s">
        <v>179</v>
      </c>
      <c r="R256" s="9">
        <v>0</v>
      </c>
      <c r="S256" s="54">
        <f t="shared" si="21"/>
        <v>0</v>
      </c>
      <c r="T256" s="9">
        <v>0</v>
      </c>
      <c r="U256" s="54">
        <f t="shared" si="22"/>
        <v>0</v>
      </c>
      <c r="V256" s="11">
        <v>0</v>
      </c>
      <c r="W256" s="11" t="s">
        <v>180</v>
      </c>
      <c r="X256" s="9">
        <v>0</v>
      </c>
      <c r="Y256" s="9">
        <f t="shared" si="23"/>
        <v>0</v>
      </c>
      <c r="Z256" s="11">
        <v>0</v>
      </c>
      <c r="AA256" s="11" t="s">
        <v>36</v>
      </c>
      <c r="AB256" s="11" t="s">
        <v>321</v>
      </c>
      <c r="AC256" s="11" t="str">
        <f t="shared" si="25"/>
        <v>AMAZONAS ENERGIA</v>
      </c>
      <c r="AD256" s="11" t="s">
        <v>6</v>
      </c>
      <c r="AE256" s="10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7" t="s">
        <v>184</v>
      </c>
      <c r="AQ256" s="100">
        <v>0</v>
      </c>
    </row>
    <row r="257" spans="1:43" hidden="1">
      <c r="A257" s="103">
        <v>45292</v>
      </c>
      <c r="B257" s="47" t="s">
        <v>252</v>
      </c>
      <c r="C257" s="2" t="s">
        <v>252</v>
      </c>
      <c r="D257" s="2" t="s">
        <v>253</v>
      </c>
      <c r="E257" s="4" t="s">
        <v>254</v>
      </c>
      <c r="F257" s="4" t="s">
        <v>173</v>
      </c>
      <c r="G257" s="5">
        <v>45293</v>
      </c>
      <c r="H257" s="31">
        <v>26492425</v>
      </c>
      <c r="I257" s="31">
        <v>26492425</v>
      </c>
      <c r="J257" s="52">
        <f t="shared" si="26"/>
        <v>26492.424999999999</v>
      </c>
      <c r="K257" s="12">
        <v>45310</v>
      </c>
      <c r="L257" s="7" t="s">
        <v>246</v>
      </c>
      <c r="M257" s="34" t="s">
        <v>45</v>
      </c>
      <c r="N257" s="7" t="s">
        <v>320</v>
      </c>
      <c r="O257" s="7" t="s">
        <v>323</v>
      </c>
      <c r="P257" s="7" t="s">
        <v>255</v>
      </c>
      <c r="Q257" s="8" t="s">
        <v>179</v>
      </c>
      <c r="R257" s="9">
        <v>0</v>
      </c>
      <c r="S257" s="54">
        <f t="shared" si="21"/>
        <v>0</v>
      </c>
      <c r="T257" s="9">
        <v>0</v>
      </c>
      <c r="U257" s="54">
        <f t="shared" si="22"/>
        <v>0</v>
      </c>
      <c r="V257" s="11">
        <v>0</v>
      </c>
      <c r="W257" s="11" t="s">
        <v>180</v>
      </c>
      <c r="X257" s="9">
        <v>0</v>
      </c>
      <c r="Y257" s="9">
        <f t="shared" si="23"/>
        <v>0</v>
      </c>
      <c r="Z257" s="11">
        <v>0</v>
      </c>
      <c r="AA257" s="11" t="s">
        <v>36</v>
      </c>
      <c r="AB257" s="11" t="s">
        <v>321</v>
      </c>
      <c r="AC257" s="11" t="str">
        <f t="shared" si="25"/>
        <v>AMAZONAS ENERGIA</v>
      </c>
      <c r="AD257" s="11" t="s">
        <v>6</v>
      </c>
      <c r="AE257" s="10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97" t="s">
        <v>184</v>
      </c>
      <c r="AQ257" s="100">
        <v>0</v>
      </c>
    </row>
    <row r="258" spans="1:43" hidden="1">
      <c r="A258" s="103">
        <v>44896</v>
      </c>
      <c r="B258" s="47" t="s">
        <v>187</v>
      </c>
      <c r="C258" s="2" t="s">
        <v>324</v>
      </c>
      <c r="D258" s="2" t="s">
        <v>228</v>
      </c>
      <c r="E258" s="4" t="s">
        <v>186</v>
      </c>
      <c r="F258" s="4" t="s">
        <v>173</v>
      </c>
      <c r="G258" s="5">
        <v>44896</v>
      </c>
      <c r="H258" s="31">
        <v>3553181.8</v>
      </c>
      <c r="I258" s="31">
        <v>3553181.8</v>
      </c>
      <c r="J258" s="52">
        <f t="shared" si="26"/>
        <v>3553.1817999999998</v>
      </c>
      <c r="K258" s="12">
        <v>44904</v>
      </c>
      <c r="L258" s="7" t="s">
        <v>175</v>
      </c>
      <c r="M258" s="34" t="s">
        <v>9</v>
      </c>
      <c r="N258" s="7" t="s">
        <v>237</v>
      </c>
      <c r="O258" s="7" t="s">
        <v>284</v>
      </c>
      <c r="P258" s="7" t="s">
        <v>325</v>
      </c>
      <c r="Q258" s="8" t="s">
        <v>179</v>
      </c>
      <c r="R258" s="9">
        <v>355288130</v>
      </c>
      <c r="S258" s="54">
        <f t="shared" ref="S258:S321" si="27">R258/1000</f>
        <v>355288.13</v>
      </c>
      <c r="T258" s="9">
        <v>248701690</v>
      </c>
      <c r="U258" s="54">
        <f t="shared" ref="U258:U300" si="28">T258/1000</f>
        <v>248701.69</v>
      </c>
      <c r="V258" s="10">
        <v>0.69999999718538308</v>
      </c>
      <c r="W258" s="11" t="s">
        <v>180</v>
      </c>
      <c r="X258" s="9">
        <v>0</v>
      </c>
      <c r="Y258" s="9">
        <f t="shared" ref="Y258:Y321" si="29">X258/1000</f>
        <v>0</v>
      </c>
      <c r="Z258" s="11">
        <v>0</v>
      </c>
      <c r="AA258" s="11" t="s">
        <v>310</v>
      </c>
      <c r="AB258" s="66" t="s">
        <v>239</v>
      </c>
      <c r="AC258" s="11" t="str">
        <f t="shared" si="25"/>
        <v>EQUATORIAL</v>
      </c>
      <c r="AD258" s="11" t="s">
        <v>6</v>
      </c>
      <c r="AE258" s="10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f>AK258*1000</f>
        <v>310580390</v>
      </c>
      <c r="AK258" s="81">
        <v>310580.39</v>
      </c>
      <c r="AL258" s="9">
        <v>0.874</v>
      </c>
      <c r="AM258" s="9">
        <f>AN258*1000</f>
        <v>44707740</v>
      </c>
      <c r="AN258" s="9">
        <v>44707.74</v>
      </c>
      <c r="AO258" s="9">
        <v>0.126</v>
      </c>
      <c r="AP258" s="97" t="s">
        <v>184</v>
      </c>
      <c r="AQ258" s="100">
        <v>0.89749999999999996</v>
      </c>
    </row>
    <row r="259" spans="1:43" hidden="1">
      <c r="A259" s="103">
        <v>44896</v>
      </c>
      <c r="B259" s="47" t="s">
        <v>187</v>
      </c>
      <c r="C259" s="2" t="s">
        <v>324</v>
      </c>
      <c r="D259" s="2" t="s">
        <v>326</v>
      </c>
      <c r="E259" s="4" t="s">
        <v>327</v>
      </c>
      <c r="F259" s="4" t="s">
        <v>173</v>
      </c>
      <c r="G259" s="5">
        <v>44896</v>
      </c>
      <c r="H259" s="31">
        <v>46191362.200000003</v>
      </c>
      <c r="I259" s="31">
        <v>46191362.200000003</v>
      </c>
      <c r="J259" s="52">
        <f t="shared" si="26"/>
        <v>46191.362200000003</v>
      </c>
      <c r="K259" s="12">
        <v>44904</v>
      </c>
      <c r="L259" s="7" t="s">
        <v>175</v>
      </c>
      <c r="M259" s="34" t="s">
        <v>9</v>
      </c>
      <c r="N259" s="7" t="s">
        <v>237</v>
      </c>
      <c r="O259" s="7" t="s">
        <v>284</v>
      </c>
      <c r="P259" s="7" t="s">
        <v>325</v>
      </c>
      <c r="Q259" s="8" t="s">
        <v>179</v>
      </c>
      <c r="R259" s="9">
        <v>0</v>
      </c>
      <c r="S259" s="54">
        <f t="shared" si="27"/>
        <v>0</v>
      </c>
      <c r="T259" s="9">
        <v>0</v>
      </c>
      <c r="U259" s="54">
        <f t="shared" si="28"/>
        <v>0</v>
      </c>
      <c r="V259" s="11">
        <v>0</v>
      </c>
      <c r="W259" s="11" t="s">
        <v>180</v>
      </c>
      <c r="X259" s="9">
        <v>0</v>
      </c>
      <c r="Y259" s="9">
        <f t="shared" si="29"/>
        <v>0</v>
      </c>
      <c r="Z259" s="11">
        <v>0</v>
      </c>
      <c r="AA259" s="11" t="s">
        <v>310</v>
      </c>
      <c r="AB259" s="66" t="s">
        <v>239</v>
      </c>
      <c r="AC259" s="11" t="str">
        <f t="shared" si="25"/>
        <v>EQUATORIAL</v>
      </c>
      <c r="AD259" s="11" t="s">
        <v>6</v>
      </c>
      <c r="AE259" s="10">
        <v>0</v>
      </c>
      <c r="AF259" s="9">
        <v>0</v>
      </c>
      <c r="AG259" s="9">
        <v>0</v>
      </c>
      <c r="AH259" s="9">
        <v>0</v>
      </c>
      <c r="AI259" s="9">
        <v>0</v>
      </c>
      <c r="AJ259" s="81">
        <v>0</v>
      </c>
      <c r="AK259" s="9">
        <v>0</v>
      </c>
      <c r="AL259" s="81">
        <v>0</v>
      </c>
      <c r="AM259" s="81">
        <v>0</v>
      </c>
      <c r="AN259" s="81">
        <v>0</v>
      </c>
      <c r="AO259" s="9">
        <v>0</v>
      </c>
      <c r="AP259" s="97" t="s">
        <v>184</v>
      </c>
      <c r="AQ259" s="100">
        <v>0</v>
      </c>
    </row>
    <row r="260" spans="1:43" hidden="1">
      <c r="A260" s="103">
        <v>45261</v>
      </c>
      <c r="B260" s="47" t="s">
        <v>187</v>
      </c>
      <c r="C260" s="2" t="s">
        <v>324</v>
      </c>
      <c r="D260" s="2" t="s">
        <v>326</v>
      </c>
      <c r="E260" s="4" t="s">
        <v>327</v>
      </c>
      <c r="F260" s="4" t="s">
        <v>173</v>
      </c>
      <c r="G260" s="5">
        <v>45261</v>
      </c>
      <c r="H260" s="31">
        <v>49744544</v>
      </c>
      <c r="I260" s="31">
        <v>49744544</v>
      </c>
      <c r="J260" s="52">
        <f t="shared" si="26"/>
        <v>49744.544000000002</v>
      </c>
      <c r="K260" s="12">
        <v>45288</v>
      </c>
      <c r="L260" s="7" t="s">
        <v>175</v>
      </c>
      <c r="M260" s="34" t="s">
        <v>9</v>
      </c>
      <c r="N260" s="7" t="s">
        <v>237</v>
      </c>
      <c r="O260" s="84" t="s">
        <v>287</v>
      </c>
      <c r="P260" s="7" t="s">
        <v>325</v>
      </c>
      <c r="Q260" s="8" t="s">
        <v>179</v>
      </c>
      <c r="R260" s="9">
        <v>0</v>
      </c>
      <c r="S260" s="54">
        <f t="shared" si="27"/>
        <v>0</v>
      </c>
      <c r="T260" s="9">
        <v>0</v>
      </c>
      <c r="U260" s="54">
        <f t="shared" si="28"/>
        <v>0</v>
      </c>
      <c r="V260" s="11">
        <v>0</v>
      </c>
      <c r="W260" s="11" t="s">
        <v>180</v>
      </c>
      <c r="X260" s="9">
        <v>0</v>
      </c>
      <c r="Y260" s="9">
        <f t="shared" si="29"/>
        <v>0</v>
      </c>
      <c r="Z260" s="11">
        <v>0</v>
      </c>
      <c r="AA260" s="11" t="s">
        <v>310</v>
      </c>
      <c r="AB260" s="66" t="s">
        <v>239</v>
      </c>
      <c r="AC260" s="11" t="str">
        <f t="shared" si="25"/>
        <v>EQUATORIAL</v>
      </c>
      <c r="AD260" s="11" t="s">
        <v>6</v>
      </c>
      <c r="AE260" s="10">
        <v>0</v>
      </c>
      <c r="AF260" s="9">
        <v>0</v>
      </c>
      <c r="AG260" s="9">
        <v>0</v>
      </c>
      <c r="AH260" s="9">
        <v>0</v>
      </c>
      <c r="AI260" s="9">
        <v>0</v>
      </c>
      <c r="AJ260" s="81">
        <v>0</v>
      </c>
      <c r="AK260" s="9">
        <v>0</v>
      </c>
      <c r="AL260" s="81">
        <v>0</v>
      </c>
      <c r="AM260" s="81">
        <v>0</v>
      </c>
      <c r="AN260" s="81">
        <v>0</v>
      </c>
      <c r="AO260" s="9">
        <v>0</v>
      </c>
      <c r="AP260" s="97" t="s">
        <v>184</v>
      </c>
      <c r="AQ260" s="100">
        <v>0</v>
      </c>
    </row>
    <row r="261" spans="1:43" hidden="1">
      <c r="A261" s="103">
        <v>45261</v>
      </c>
      <c r="B261" s="47" t="s">
        <v>187</v>
      </c>
      <c r="C261" s="2" t="s">
        <v>324</v>
      </c>
      <c r="D261" s="2" t="s">
        <v>326</v>
      </c>
      <c r="E261" s="4" t="s">
        <v>327</v>
      </c>
      <c r="F261" s="4" t="s">
        <v>173</v>
      </c>
      <c r="G261" s="5">
        <v>45261</v>
      </c>
      <c r="H261" s="31">
        <v>49744544</v>
      </c>
      <c r="I261" s="31">
        <v>49744544</v>
      </c>
      <c r="J261" s="52">
        <f t="shared" si="26"/>
        <v>49744.544000000002</v>
      </c>
      <c r="K261" s="12">
        <v>45288</v>
      </c>
      <c r="L261" s="7" t="s">
        <v>175</v>
      </c>
      <c r="M261" s="34" t="s">
        <v>9</v>
      </c>
      <c r="N261" s="7" t="s">
        <v>237</v>
      </c>
      <c r="O261" s="84" t="s">
        <v>296</v>
      </c>
      <c r="P261" s="7" t="s">
        <v>325</v>
      </c>
      <c r="Q261" s="8" t="s">
        <v>179</v>
      </c>
      <c r="R261" s="9">
        <v>0</v>
      </c>
      <c r="S261" s="54">
        <f t="shared" si="27"/>
        <v>0</v>
      </c>
      <c r="T261" s="9">
        <v>0</v>
      </c>
      <c r="U261" s="54">
        <f t="shared" si="28"/>
        <v>0</v>
      </c>
      <c r="V261" s="11">
        <v>0</v>
      </c>
      <c r="W261" s="11" t="s">
        <v>180</v>
      </c>
      <c r="X261" s="9">
        <v>0</v>
      </c>
      <c r="Y261" s="9">
        <f t="shared" si="29"/>
        <v>0</v>
      </c>
      <c r="Z261" s="11">
        <v>0</v>
      </c>
      <c r="AA261" s="11" t="s">
        <v>310</v>
      </c>
      <c r="AB261" s="66" t="s">
        <v>239</v>
      </c>
      <c r="AC261" s="11" t="str">
        <f t="shared" si="25"/>
        <v>EQUATORIAL</v>
      </c>
      <c r="AD261" s="11" t="s">
        <v>6</v>
      </c>
      <c r="AE261" s="10">
        <v>0</v>
      </c>
      <c r="AF261" s="9">
        <v>0</v>
      </c>
      <c r="AG261" s="9">
        <v>0</v>
      </c>
      <c r="AH261" s="9">
        <v>0</v>
      </c>
      <c r="AI261" s="9">
        <v>0</v>
      </c>
      <c r="AJ261" s="81">
        <v>0</v>
      </c>
      <c r="AK261" s="9">
        <v>0</v>
      </c>
      <c r="AL261" s="81">
        <v>0</v>
      </c>
      <c r="AM261" s="81">
        <v>0</v>
      </c>
      <c r="AN261" s="81">
        <v>0</v>
      </c>
      <c r="AO261" s="9">
        <v>0</v>
      </c>
      <c r="AP261" s="97" t="s">
        <v>184</v>
      </c>
      <c r="AQ261" s="100">
        <v>0</v>
      </c>
    </row>
    <row r="262" spans="1:43" hidden="1">
      <c r="A262" s="103">
        <v>45627</v>
      </c>
      <c r="B262" s="47" t="s">
        <v>187</v>
      </c>
      <c r="C262" s="2" t="s">
        <v>324</v>
      </c>
      <c r="D262" s="2" t="s">
        <v>326</v>
      </c>
      <c r="E262" s="4" t="s">
        <v>327</v>
      </c>
      <c r="F262" s="4" t="s">
        <v>173</v>
      </c>
      <c r="G262" s="5">
        <v>45627</v>
      </c>
      <c r="H262" s="31">
        <v>24872272</v>
      </c>
      <c r="I262" s="31">
        <v>24872272</v>
      </c>
      <c r="J262" s="52">
        <f t="shared" si="26"/>
        <v>24872.272000000001</v>
      </c>
      <c r="K262" s="12">
        <v>45639</v>
      </c>
      <c r="L262" s="7" t="s">
        <v>175</v>
      </c>
      <c r="M262" s="34" t="s">
        <v>9</v>
      </c>
      <c r="N262" s="7" t="s">
        <v>237</v>
      </c>
      <c r="O262" s="7" t="s">
        <v>289</v>
      </c>
      <c r="P262" s="7" t="s">
        <v>325</v>
      </c>
      <c r="Q262" s="8" t="s">
        <v>179</v>
      </c>
      <c r="R262" s="9">
        <v>0</v>
      </c>
      <c r="S262" s="54">
        <f t="shared" si="27"/>
        <v>0</v>
      </c>
      <c r="T262" s="9">
        <v>0</v>
      </c>
      <c r="U262" s="54">
        <f t="shared" si="28"/>
        <v>0</v>
      </c>
      <c r="V262" s="11">
        <v>0</v>
      </c>
      <c r="W262" s="11" t="s">
        <v>180</v>
      </c>
      <c r="X262" s="9">
        <v>0</v>
      </c>
      <c r="Y262" s="9">
        <f t="shared" si="29"/>
        <v>0</v>
      </c>
      <c r="Z262" s="11">
        <v>0</v>
      </c>
      <c r="AA262" s="11" t="s">
        <v>310</v>
      </c>
      <c r="AB262" s="66" t="s">
        <v>239</v>
      </c>
      <c r="AC262" s="11" t="str">
        <f t="shared" si="25"/>
        <v>EQUATORIAL</v>
      </c>
      <c r="AD262" s="11" t="s">
        <v>6</v>
      </c>
      <c r="AE262" s="10">
        <v>0</v>
      </c>
      <c r="AF262" s="9">
        <v>0</v>
      </c>
      <c r="AG262" s="9">
        <v>0</v>
      </c>
      <c r="AH262" s="9">
        <v>0</v>
      </c>
      <c r="AI262" s="9">
        <v>0</v>
      </c>
      <c r="AJ262" s="81">
        <v>0</v>
      </c>
      <c r="AK262" s="9">
        <v>0</v>
      </c>
      <c r="AL262" s="81">
        <v>0</v>
      </c>
      <c r="AM262" s="81">
        <v>0</v>
      </c>
      <c r="AN262" s="81">
        <v>0</v>
      </c>
      <c r="AO262" s="9">
        <v>0</v>
      </c>
      <c r="AP262" s="97" t="s">
        <v>184</v>
      </c>
      <c r="AQ262" s="100">
        <v>0</v>
      </c>
    </row>
    <row r="263" spans="1:43" hidden="1">
      <c r="A263" s="103">
        <v>45627</v>
      </c>
      <c r="B263" s="47" t="s">
        <v>187</v>
      </c>
      <c r="C263" s="2" t="s">
        <v>324</v>
      </c>
      <c r="D263" s="2" t="s">
        <v>326</v>
      </c>
      <c r="E263" s="4" t="s">
        <v>327</v>
      </c>
      <c r="F263" s="4" t="s">
        <v>173</v>
      </c>
      <c r="G263" s="5">
        <v>45627</v>
      </c>
      <c r="H263" s="31">
        <v>24872272</v>
      </c>
      <c r="I263" s="31">
        <v>24872272</v>
      </c>
      <c r="J263" s="52">
        <f t="shared" si="26"/>
        <v>24872.272000000001</v>
      </c>
      <c r="K263" s="12">
        <v>45639</v>
      </c>
      <c r="L263" s="7" t="s">
        <v>175</v>
      </c>
      <c r="M263" s="34" t="s">
        <v>9</v>
      </c>
      <c r="N263" s="7" t="s">
        <v>237</v>
      </c>
      <c r="O263" s="7" t="s">
        <v>297</v>
      </c>
      <c r="P263" s="7" t="s">
        <v>325</v>
      </c>
      <c r="Q263" s="8" t="s">
        <v>179</v>
      </c>
      <c r="R263" s="9">
        <v>0</v>
      </c>
      <c r="S263" s="54">
        <f t="shared" si="27"/>
        <v>0</v>
      </c>
      <c r="T263" s="9">
        <v>0</v>
      </c>
      <c r="U263" s="54">
        <f t="shared" si="28"/>
        <v>0</v>
      </c>
      <c r="V263" s="11">
        <v>0</v>
      </c>
      <c r="W263" s="11" t="s">
        <v>180</v>
      </c>
      <c r="X263" s="9">
        <v>0</v>
      </c>
      <c r="Y263" s="9">
        <f t="shared" si="29"/>
        <v>0</v>
      </c>
      <c r="Z263" s="11">
        <v>0</v>
      </c>
      <c r="AA263" s="11" t="s">
        <v>310</v>
      </c>
      <c r="AB263" s="66" t="s">
        <v>239</v>
      </c>
      <c r="AC263" s="11" t="str">
        <f t="shared" si="25"/>
        <v>EQUATORIAL</v>
      </c>
      <c r="AD263" s="11" t="s">
        <v>6</v>
      </c>
      <c r="AE263" s="10">
        <v>0</v>
      </c>
      <c r="AF263" s="9">
        <v>0</v>
      </c>
      <c r="AG263" s="9">
        <v>0</v>
      </c>
      <c r="AH263" s="9">
        <v>0</v>
      </c>
      <c r="AI263" s="9">
        <v>0</v>
      </c>
      <c r="AJ263" s="81">
        <v>0</v>
      </c>
      <c r="AK263" s="81">
        <v>0</v>
      </c>
      <c r="AL263" s="81">
        <v>0</v>
      </c>
      <c r="AM263" s="81">
        <v>0</v>
      </c>
      <c r="AN263" s="81">
        <v>0</v>
      </c>
      <c r="AO263" s="9">
        <v>0</v>
      </c>
      <c r="AP263" s="97" t="s">
        <v>184</v>
      </c>
      <c r="AQ263" s="100">
        <v>0</v>
      </c>
    </row>
    <row r="264" spans="1:43" hidden="1">
      <c r="A264" s="103">
        <v>45383</v>
      </c>
      <c r="B264" s="47" t="s">
        <v>187</v>
      </c>
      <c r="C264" s="2" t="s">
        <v>211</v>
      </c>
      <c r="D264" s="2" t="s">
        <v>228</v>
      </c>
      <c r="E264" s="4" t="s">
        <v>186</v>
      </c>
      <c r="F264" s="4" t="s">
        <v>173</v>
      </c>
      <c r="G264" s="5">
        <v>45352</v>
      </c>
      <c r="H264" s="31">
        <v>15753107.4</v>
      </c>
      <c r="I264" s="31">
        <v>15753107.4</v>
      </c>
      <c r="J264" s="52">
        <f t="shared" si="26"/>
        <v>15753.107400000001</v>
      </c>
      <c r="K264" s="12">
        <v>45393</v>
      </c>
      <c r="L264" s="7" t="s">
        <v>175</v>
      </c>
      <c r="M264" s="34" t="s">
        <v>10</v>
      </c>
      <c r="N264" s="7" t="s">
        <v>243</v>
      </c>
      <c r="O264" s="7" t="s">
        <v>284</v>
      </c>
      <c r="P264" s="7" t="s">
        <v>214</v>
      </c>
      <c r="Q264" s="8" t="s">
        <v>179</v>
      </c>
      <c r="R264" s="9">
        <v>1562065530</v>
      </c>
      <c r="S264" s="54">
        <f t="shared" si="27"/>
        <v>1562065.53</v>
      </c>
      <c r="T264" s="9">
        <v>1405858980</v>
      </c>
      <c r="U264" s="54">
        <f t="shared" si="28"/>
        <v>1405858.98</v>
      </c>
      <c r="V264" s="10">
        <v>0.90000000192053398</v>
      </c>
      <c r="W264" s="11" t="s">
        <v>180</v>
      </c>
      <c r="X264" s="9">
        <v>0</v>
      </c>
      <c r="Y264" s="9">
        <f t="shared" si="29"/>
        <v>0</v>
      </c>
      <c r="Z264" s="11">
        <v>0</v>
      </c>
      <c r="AA264" s="11" t="s">
        <v>310</v>
      </c>
      <c r="AB264" s="66" t="s">
        <v>245</v>
      </c>
      <c r="AC264" s="11" t="str">
        <f t="shared" si="25"/>
        <v>EQUATORIAL</v>
      </c>
      <c r="AD264" s="11" t="s">
        <v>6</v>
      </c>
      <c r="AE264" s="10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f>AK264*1000</f>
        <v>1406170340</v>
      </c>
      <c r="AK264" s="9">
        <v>1406170.34</v>
      </c>
      <c r="AL264" s="9">
        <v>0.9002</v>
      </c>
      <c r="AM264" s="9">
        <f>AN264*1000</f>
        <v>155895190</v>
      </c>
      <c r="AN264" s="9">
        <v>155895.19</v>
      </c>
      <c r="AO264" s="9">
        <v>9.98E-2</v>
      </c>
      <c r="AP264" s="97" t="s">
        <v>184</v>
      </c>
      <c r="AQ264" s="100">
        <v>0.53210000000000002</v>
      </c>
    </row>
    <row r="265" spans="1:43" hidden="1">
      <c r="A265" s="103">
        <v>45383</v>
      </c>
      <c r="B265" s="47" t="s">
        <v>187</v>
      </c>
      <c r="C265" s="2" t="s">
        <v>211</v>
      </c>
      <c r="D265" s="2" t="s">
        <v>212</v>
      </c>
      <c r="E265" s="4" t="s">
        <v>213</v>
      </c>
      <c r="F265" s="4" t="s">
        <v>173</v>
      </c>
      <c r="G265" s="5">
        <v>45352</v>
      </c>
      <c r="H265" s="31">
        <v>267802824.59999999</v>
      </c>
      <c r="I265" s="31">
        <v>267802824.59999999</v>
      </c>
      <c r="J265" s="52">
        <f t="shared" si="26"/>
        <v>267802.82459999999</v>
      </c>
      <c r="K265" s="12">
        <v>45393</v>
      </c>
      <c r="L265" s="7" t="s">
        <v>175</v>
      </c>
      <c r="M265" s="34" t="s">
        <v>10</v>
      </c>
      <c r="N265" s="7" t="s">
        <v>243</v>
      </c>
      <c r="O265" s="7" t="s">
        <v>284</v>
      </c>
      <c r="P265" s="7" t="s">
        <v>214</v>
      </c>
      <c r="Q265" s="8" t="s">
        <v>179</v>
      </c>
      <c r="R265" s="9">
        <v>0</v>
      </c>
      <c r="S265" s="54">
        <f t="shared" si="27"/>
        <v>0</v>
      </c>
      <c r="T265" s="9">
        <v>0</v>
      </c>
      <c r="U265" s="54">
        <f t="shared" si="28"/>
        <v>0</v>
      </c>
      <c r="V265" s="11">
        <v>0</v>
      </c>
      <c r="W265" s="11" t="s">
        <v>180</v>
      </c>
      <c r="X265" s="9">
        <v>0</v>
      </c>
      <c r="Y265" s="9">
        <f t="shared" si="29"/>
        <v>0</v>
      </c>
      <c r="Z265" s="11">
        <v>0</v>
      </c>
      <c r="AA265" s="11" t="s">
        <v>310</v>
      </c>
      <c r="AB265" s="66" t="s">
        <v>245</v>
      </c>
      <c r="AC265" s="11" t="str">
        <f t="shared" si="25"/>
        <v>EQUATORIAL</v>
      </c>
      <c r="AD265" s="11" t="s">
        <v>6</v>
      </c>
      <c r="AE265" s="10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7" t="s">
        <v>184</v>
      </c>
      <c r="AQ265" s="100">
        <v>0</v>
      </c>
    </row>
    <row r="266" spans="1:43" hidden="1">
      <c r="A266" s="103">
        <v>45627</v>
      </c>
      <c r="B266" s="47" t="s">
        <v>187</v>
      </c>
      <c r="C266" s="13" t="s">
        <v>211</v>
      </c>
      <c r="D266" s="2" t="s">
        <v>212</v>
      </c>
      <c r="E266" s="4" t="s">
        <v>213</v>
      </c>
      <c r="F266" s="4" t="s">
        <v>173</v>
      </c>
      <c r="G266" s="5">
        <v>45627</v>
      </c>
      <c r="H266" s="31">
        <v>283555932</v>
      </c>
      <c r="I266" s="31">
        <v>283555932</v>
      </c>
      <c r="J266" s="52">
        <f t="shared" si="26"/>
        <v>283555.93199999997</v>
      </c>
      <c r="K266" s="12">
        <v>45656</v>
      </c>
      <c r="L266" s="7" t="s">
        <v>175</v>
      </c>
      <c r="M266" s="34" t="s">
        <v>10</v>
      </c>
      <c r="N266" s="7" t="s">
        <v>243</v>
      </c>
      <c r="O266" s="7" t="s">
        <v>287</v>
      </c>
      <c r="P266" s="7" t="s">
        <v>214</v>
      </c>
      <c r="Q266" s="8" t="s">
        <v>179</v>
      </c>
      <c r="R266" s="9">
        <v>0</v>
      </c>
      <c r="S266" s="54">
        <f t="shared" si="27"/>
        <v>0</v>
      </c>
      <c r="T266" s="9">
        <v>0</v>
      </c>
      <c r="U266" s="54">
        <f t="shared" si="28"/>
        <v>0</v>
      </c>
      <c r="V266" s="11">
        <v>0</v>
      </c>
      <c r="W266" s="11" t="s">
        <v>180</v>
      </c>
      <c r="X266" s="9">
        <v>0</v>
      </c>
      <c r="Y266" s="9">
        <f t="shared" si="29"/>
        <v>0</v>
      </c>
      <c r="Z266" s="11">
        <v>0</v>
      </c>
      <c r="AA266" s="11" t="s">
        <v>310</v>
      </c>
      <c r="AB266" s="66" t="s">
        <v>245</v>
      </c>
      <c r="AC266" s="11" t="str">
        <f t="shared" si="25"/>
        <v>EQUATORIAL</v>
      </c>
      <c r="AD266" s="11" t="s">
        <v>6</v>
      </c>
      <c r="AE266" s="10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97" t="s">
        <v>184</v>
      </c>
      <c r="AQ266" s="100">
        <v>0</v>
      </c>
    </row>
    <row r="267" spans="1:43" hidden="1">
      <c r="A267" s="103">
        <v>45992</v>
      </c>
      <c r="B267" s="47" t="s">
        <v>187</v>
      </c>
      <c r="C267" s="13" t="s">
        <v>211</v>
      </c>
      <c r="D267" s="2" t="s">
        <v>212</v>
      </c>
      <c r="E267" s="4" t="s">
        <v>213</v>
      </c>
      <c r="F267" s="4" t="s">
        <v>173</v>
      </c>
      <c r="G267" s="5">
        <v>45992</v>
      </c>
      <c r="H267" s="31">
        <v>276403524</v>
      </c>
      <c r="I267" s="31">
        <v>276403524</v>
      </c>
      <c r="J267" s="52">
        <f t="shared" si="26"/>
        <v>276403.52399999998</v>
      </c>
      <c r="K267" s="12">
        <v>46014</v>
      </c>
      <c r="L267" s="7" t="s">
        <v>175</v>
      </c>
      <c r="M267" s="34" t="s">
        <v>10</v>
      </c>
      <c r="N267" s="7" t="s">
        <v>243</v>
      </c>
      <c r="O267" s="7" t="s">
        <v>296</v>
      </c>
      <c r="P267" s="7" t="s">
        <v>214</v>
      </c>
      <c r="Q267" s="8" t="s">
        <v>179</v>
      </c>
      <c r="R267" s="9">
        <v>0</v>
      </c>
      <c r="S267" s="54">
        <f t="shared" si="27"/>
        <v>0</v>
      </c>
      <c r="T267" s="9">
        <v>0</v>
      </c>
      <c r="U267" s="54">
        <f t="shared" si="28"/>
        <v>0</v>
      </c>
      <c r="V267" s="11">
        <v>0</v>
      </c>
      <c r="W267" s="11" t="s">
        <v>180</v>
      </c>
      <c r="X267" s="9">
        <v>0</v>
      </c>
      <c r="Y267" s="9">
        <f t="shared" si="29"/>
        <v>0</v>
      </c>
      <c r="Z267" s="11">
        <v>0</v>
      </c>
      <c r="AA267" s="11" t="s">
        <v>310</v>
      </c>
      <c r="AB267" s="66" t="s">
        <v>245</v>
      </c>
      <c r="AC267" s="11" t="str">
        <f t="shared" si="25"/>
        <v>EQUATORIAL</v>
      </c>
      <c r="AD267" s="11" t="s">
        <v>6</v>
      </c>
      <c r="AE267" s="10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97" t="s">
        <v>184</v>
      </c>
      <c r="AQ267" s="100">
        <v>0</v>
      </c>
    </row>
    <row r="268" spans="1:43" hidden="1">
      <c r="A268" s="103">
        <v>45627</v>
      </c>
      <c r="B268" s="47" t="s">
        <v>187</v>
      </c>
      <c r="C268" s="2" t="s">
        <v>324</v>
      </c>
      <c r="D268" s="2" t="s">
        <v>326</v>
      </c>
      <c r="E268" s="4" t="s">
        <v>327</v>
      </c>
      <c r="F268" s="4" t="s">
        <v>173</v>
      </c>
      <c r="G268" s="5">
        <v>45627</v>
      </c>
      <c r="H268" s="31">
        <v>15865361.800000001</v>
      </c>
      <c r="I268" s="31">
        <v>15865361.800000001</v>
      </c>
      <c r="J268" s="52">
        <f t="shared" si="26"/>
        <v>15865.361800000001</v>
      </c>
      <c r="K268" s="12">
        <v>45639</v>
      </c>
      <c r="L268" s="7" t="s">
        <v>175</v>
      </c>
      <c r="M268" s="34" t="s">
        <v>7</v>
      </c>
      <c r="N268" s="7" t="s">
        <v>243</v>
      </c>
      <c r="O268" s="7" t="s">
        <v>284</v>
      </c>
      <c r="P268" s="7" t="s">
        <v>325</v>
      </c>
      <c r="Q268" s="8" t="s">
        <v>179</v>
      </c>
      <c r="R268" s="9">
        <v>61020620</v>
      </c>
      <c r="S268" s="54">
        <f t="shared" si="27"/>
        <v>61020.62</v>
      </c>
      <c r="T268" s="9">
        <v>54918560</v>
      </c>
      <c r="U268" s="54">
        <f t="shared" si="28"/>
        <v>54918.559999999998</v>
      </c>
      <c r="V268" s="10">
        <v>0.90000003277580598</v>
      </c>
      <c r="W268" s="11" t="s">
        <v>180</v>
      </c>
      <c r="X268" s="9">
        <v>0</v>
      </c>
      <c r="Y268" s="9">
        <f t="shared" si="29"/>
        <v>0</v>
      </c>
      <c r="Z268" s="11">
        <v>0</v>
      </c>
      <c r="AA268" s="11" t="s">
        <v>310</v>
      </c>
      <c r="AB268" s="66" t="s">
        <v>245</v>
      </c>
      <c r="AC268" s="11" t="str">
        <f t="shared" si="25"/>
        <v>EQUATORIAL</v>
      </c>
      <c r="AD268" s="11" t="s">
        <v>6</v>
      </c>
      <c r="AE268" s="10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f>AK268*1000</f>
        <v>55473280</v>
      </c>
      <c r="AK268" s="81">
        <v>55473.279999999999</v>
      </c>
      <c r="AL268" s="9">
        <v>0.90900000000000003</v>
      </c>
      <c r="AM268" s="9">
        <f>AN268*1000</f>
        <v>5547340</v>
      </c>
      <c r="AN268" s="9">
        <v>5547.34</v>
      </c>
      <c r="AO268" s="9">
        <v>9.0999999999999998E-2</v>
      </c>
      <c r="AP268" s="97" t="s">
        <v>184</v>
      </c>
      <c r="AQ268" s="100">
        <v>0.99729999999999996</v>
      </c>
    </row>
    <row r="269" spans="1:43" hidden="1">
      <c r="A269" s="103">
        <v>45627</v>
      </c>
      <c r="B269" s="47" t="s">
        <v>187</v>
      </c>
      <c r="C269" s="2" t="s">
        <v>324</v>
      </c>
      <c r="D269" s="2" t="s">
        <v>311</v>
      </c>
      <c r="E269" s="4" t="s">
        <v>312</v>
      </c>
      <c r="F269" s="4" t="s">
        <v>173</v>
      </c>
      <c r="G269" s="5">
        <v>45627</v>
      </c>
      <c r="H269" s="31">
        <v>610206.19999999995</v>
      </c>
      <c r="I269" s="31">
        <v>610206.19999999995</v>
      </c>
      <c r="J269" s="52">
        <f t="shared" si="26"/>
        <v>610.20619999999997</v>
      </c>
      <c r="K269" s="12">
        <v>45639</v>
      </c>
      <c r="L269" s="7" t="s">
        <v>175</v>
      </c>
      <c r="M269" s="34" t="s">
        <v>7</v>
      </c>
      <c r="N269" s="7" t="s">
        <v>243</v>
      </c>
      <c r="O269" s="7" t="s">
        <v>284</v>
      </c>
      <c r="P269" s="7" t="s">
        <v>325</v>
      </c>
      <c r="Q269" s="8" t="s">
        <v>179</v>
      </c>
      <c r="R269" s="9">
        <v>0</v>
      </c>
      <c r="S269" s="54">
        <f t="shared" si="27"/>
        <v>0</v>
      </c>
      <c r="T269" s="9">
        <v>0</v>
      </c>
      <c r="U269" s="54">
        <f t="shared" si="28"/>
        <v>0</v>
      </c>
      <c r="V269" s="10">
        <v>0</v>
      </c>
      <c r="W269" s="11" t="s">
        <v>180</v>
      </c>
      <c r="X269" s="9">
        <v>0</v>
      </c>
      <c r="Y269" s="9">
        <f t="shared" si="29"/>
        <v>0</v>
      </c>
      <c r="Z269" s="11">
        <v>0</v>
      </c>
      <c r="AA269" s="11" t="s">
        <v>310</v>
      </c>
      <c r="AB269" s="66" t="s">
        <v>245</v>
      </c>
      <c r="AC269" s="11" t="str">
        <f t="shared" si="25"/>
        <v>EQUATORIAL</v>
      </c>
      <c r="AD269" s="11" t="s">
        <v>6</v>
      </c>
      <c r="AE269" s="10">
        <v>0</v>
      </c>
      <c r="AF269" s="9">
        <v>0</v>
      </c>
      <c r="AG269" s="9">
        <v>0</v>
      </c>
      <c r="AH269" s="9">
        <v>0</v>
      </c>
      <c r="AI269" s="9">
        <v>0</v>
      </c>
      <c r="AJ269" s="81">
        <v>0</v>
      </c>
      <c r="AK269" s="81">
        <v>0</v>
      </c>
      <c r="AL269" s="81">
        <v>0</v>
      </c>
      <c r="AM269" s="81">
        <v>0</v>
      </c>
      <c r="AN269" s="81">
        <v>0</v>
      </c>
      <c r="AO269" s="81">
        <v>0</v>
      </c>
      <c r="AP269" s="97" t="s">
        <v>184</v>
      </c>
      <c r="AQ269" s="100">
        <v>0</v>
      </c>
    </row>
    <row r="270" spans="1:43" hidden="1">
      <c r="A270" s="103">
        <v>45839</v>
      </c>
      <c r="B270" s="47" t="s">
        <v>187</v>
      </c>
      <c r="C270" s="2" t="s">
        <v>324</v>
      </c>
      <c r="D270" s="2" t="s">
        <v>326</v>
      </c>
      <c r="E270" s="4" t="s">
        <v>327</v>
      </c>
      <c r="F270" s="4" t="s">
        <v>173</v>
      </c>
      <c r="G270" s="5">
        <v>45864</v>
      </c>
      <c r="H270" s="31">
        <v>10983712</v>
      </c>
      <c r="I270" s="31">
        <v>10983712</v>
      </c>
      <c r="J270" s="52">
        <f t="shared" si="26"/>
        <v>10983.712</v>
      </c>
      <c r="K270" s="12">
        <v>45863</v>
      </c>
      <c r="L270" s="7" t="s">
        <v>175</v>
      </c>
      <c r="M270" s="34" t="s">
        <v>7</v>
      </c>
      <c r="N270" s="7" t="s">
        <v>243</v>
      </c>
      <c r="O270" s="7" t="s">
        <v>287</v>
      </c>
      <c r="P270" s="7" t="s">
        <v>325</v>
      </c>
      <c r="Q270" s="8" t="s">
        <v>179</v>
      </c>
      <c r="R270" s="9">
        <v>0</v>
      </c>
      <c r="S270" s="54">
        <f t="shared" si="27"/>
        <v>0</v>
      </c>
      <c r="T270" s="9">
        <v>0</v>
      </c>
      <c r="U270" s="54">
        <f t="shared" si="28"/>
        <v>0</v>
      </c>
      <c r="V270" s="11">
        <v>0</v>
      </c>
      <c r="W270" s="11" t="s">
        <v>180</v>
      </c>
      <c r="X270" s="9">
        <v>0</v>
      </c>
      <c r="Y270" s="9">
        <f t="shared" si="29"/>
        <v>0</v>
      </c>
      <c r="Z270" s="11">
        <v>0</v>
      </c>
      <c r="AA270" s="11" t="s">
        <v>310</v>
      </c>
      <c r="AB270" s="66" t="s">
        <v>245</v>
      </c>
      <c r="AC270" s="11" t="str">
        <f t="shared" si="25"/>
        <v>EQUATORIAL</v>
      </c>
      <c r="AD270" s="11" t="s">
        <v>6</v>
      </c>
      <c r="AE270" s="10">
        <v>0</v>
      </c>
      <c r="AF270" s="9">
        <v>0</v>
      </c>
      <c r="AG270" s="9">
        <v>0</v>
      </c>
      <c r="AH270" s="9">
        <v>0</v>
      </c>
      <c r="AI270" s="9">
        <v>0</v>
      </c>
      <c r="AJ270" s="81">
        <v>0</v>
      </c>
      <c r="AK270" s="81">
        <v>0</v>
      </c>
      <c r="AL270" s="81">
        <v>0</v>
      </c>
      <c r="AM270" s="81">
        <v>0</v>
      </c>
      <c r="AN270" s="81">
        <v>0</v>
      </c>
      <c r="AO270" s="81">
        <v>0</v>
      </c>
      <c r="AP270" s="97" t="s">
        <v>184</v>
      </c>
      <c r="AQ270" s="100">
        <v>0</v>
      </c>
    </row>
    <row r="271" spans="1:43" hidden="1">
      <c r="A271" s="103">
        <v>45627</v>
      </c>
      <c r="B271" s="47" t="s">
        <v>198</v>
      </c>
      <c r="C271" s="2" t="s">
        <v>199</v>
      </c>
      <c r="D271" s="2" t="s">
        <v>200</v>
      </c>
      <c r="E271" s="4" t="s">
        <v>201</v>
      </c>
      <c r="F271" s="4" t="s">
        <v>173</v>
      </c>
      <c r="G271" s="5">
        <v>45627</v>
      </c>
      <c r="H271" s="31">
        <v>26415673.699999999</v>
      </c>
      <c r="I271" s="31">
        <v>26415673.699999999</v>
      </c>
      <c r="J271" s="52">
        <f t="shared" si="26"/>
        <v>26415.673699999999</v>
      </c>
      <c r="K271" s="12">
        <v>45639</v>
      </c>
      <c r="L271" s="7" t="s">
        <v>175</v>
      </c>
      <c r="M271" s="34" t="s">
        <v>11</v>
      </c>
      <c r="N271" s="7" t="s">
        <v>243</v>
      </c>
      <c r="O271" s="7" t="s">
        <v>284</v>
      </c>
      <c r="P271" s="7" t="s">
        <v>203</v>
      </c>
      <c r="Q271" s="8" t="s">
        <v>179</v>
      </c>
      <c r="R271" s="9">
        <v>91088530</v>
      </c>
      <c r="S271" s="54">
        <f t="shared" si="27"/>
        <v>91088.53</v>
      </c>
      <c r="T271" s="9">
        <v>81979680</v>
      </c>
      <c r="U271" s="54">
        <f t="shared" si="28"/>
        <v>81979.679999999993</v>
      </c>
      <c r="V271" s="10">
        <v>0.90000003293499198</v>
      </c>
      <c r="W271" s="11" t="s">
        <v>180</v>
      </c>
      <c r="X271" s="9">
        <v>0</v>
      </c>
      <c r="Y271" s="9">
        <f t="shared" si="29"/>
        <v>0</v>
      </c>
      <c r="Z271" s="11">
        <v>0</v>
      </c>
      <c r="AA271" s="11" t="s">
        <v>310</v>
      </c>
      <c r="AB271" s="66" t="s">
        <v>245</v>
      </c>
      <c r="AC271" s="11" t="str">
        <f t="shared" si="25"/>
        <v>ENERGISA</v>
      </c>
      <c r="AD271" s="11" t="s">
        <v>6</v>
      </c>
      <c r="AE271" s="10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f>AK271*1000</f>
        <v>82060400</v>
      </c>
      <c r="AK271" s="9">
        <v>82060.399999999994</v>
      </c>
      <c r="AL271" s="9">
        <v>0.90100000000000002</v>
      </c>
      <c r="AM271" s="9">
        <f>AN271*1000</f>
        <v>9028120</v>
      </c>
      <c r="AN271" s="9">
        <v>9028.1200000000008</v>
      </c>
      <c r="AO271" s="9">
        <v>9.9000000000000005E-2</v>
      </c>
      <c r="AP271" s="97" t="s">
        <v>184</v>
      </c>
      <c r="AQ271" s="100">
        <v>0.94969999999999999</v>
      </c>
    </row>
    <row r="272" spans="1:43" hidden="1">
      <c r="A272" s="103">
        <v>45627</v>
      </c>
      <c r="B272" s="47" t="s">
        <v>198</v>
      </c>
      <c r="C272" s="2" t="s">
        <v>199</v>
      </c>
      <c r="D272" s="2" t="s">
        <v>311</v>
      </c>
      <c r="E272" s="4" t="s">
        <v>312</v>
      </c>
      <c r="F272" s="4" t="s">
        <v>173</v>
      </c>
      <c r="G272" s="5">
        <v>45627</v>
      </c>
      <c r="H272" s="31">
        <v>910885.3</v>
      </c>
      <c r="I272" s="31">
        <v>910885.3</v>
      </c>
      <c r="J272" s="52">
        <f t="shared" si="26"/>
        <v>910.88530000000003</v>
      </c>
      <c r="K272" s="12">
        <v>45639</v>
      </c>
      <c r="L272" s="7" t="s">
        <v>175</v>
      </c>
      <c r="M272" s="34" t="s">
        <v>11</v>
      </c>
      <c r="N272" s="7" t="s">
        <v>243</v>
      </c>
      <c r="O272" s="7" t="s">
        <v>284</v>
      </c>
      <c r="P272" s="7" t="s">
        <v>203</v>
      </c>
      <c r="Q272" s="8" t="s">
        <v>179</v>
      </c>
      <c r="R272" s="9">
        <v>0</v>
      </c>
      <c r="S272" s="54">
        <f t="shared" si="27"/>
        <v>0</v>
      </c>
      <c r="T272" s="9">
        <v>0</v>
      </c>
      <c r="U272" s="54">
        <f t="shared" si="28"/>
        <v>0</v>
      </c>
      <c r="V272" s="10">
        <v>0</v>
      </c>
      <c r="W272" s="11" t="s">
        <v>180</v>
      </c>
      <c r="X272" s="9">
        <v>0</v>
      </c>
      <c r="Y272" s="9">
        <f t="shared" si="29"/>
        <v>0</v>
      </c>
      <c r="Z272" s="11">
        <v>0</v>
      </c>
      <c r="AA272" s="11" t="s">
        <v>310</v>
      </c>
      <c r="AB272" s="66" t="s">
        <v>245</v>
      </c>
      <c r="AC272" s="11" t="str">
        <f t="shared" si="25"/>
        <v>ENERGISA</v>
      </c>
      <c r="AD272" s="11" t="s">
        <v>6</v>
      </c>
      <c r="AE272" s="10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7" t="s">
        <v>184</v>
      </c>
      <c r="AQ272" s="100">
        <v>0</v>
      </c>
    </row>
    <row r="273" spans="1:43" hidden="1">
      <c r="A273" s="103">
        <v>45809</v>
      </c>
      <c r="B273" s="47" t="s">
        <v>198</v>
      </c>
      <c r="C273" s="2" t="s">
        <v>199</v>
      </c>
      <c r="D273" s="2" t="s">
        <v>200</v>
      </c>
      <c r="E273" s="4" t="s">
        <v>201</v>
      </c>
      <c r="F273" s="4" t="s">
        <v>173</v>
      </c>
      <c r="G273" s="5">
        <v>45835</v>
      </c>
      <c r="H273" s="31">
        <v>10930624.5</v>
      </c>
      <c r="I273" s="31">
        <v>10930624.5</v>
      </c>
      <c r="J273" s="52">
        <f t="shared" si="26"/>
        <v>10930.6245</v>
      </c>
      <c r="K273" s="12">
        <v>45835</v>
      </c>
      <c r="L273" s="7" t="s">
        <v>175</v>
      </c>
      <c r="M273" s="34" t="s">
        <v>11</v>
      </c>
      <c r="N273" s="7" t="s">
        <v>243</v>
      </c>
      <c r="O273" s="84" t="s">
        <v>287</v>
      </c>
      <c r="P273" s="7" t="s">
        <v>203</v>
      </c>
      <c r="Q273" s="8" t="s">
        <v>179</v>
      </c>
      <c r="R273" s="9">
        <v>0</v>
      </c>
      <c r="S273" s="54">
        <f t="shared" si="27"/>
        <v>0</v>
      </c>
      <c r="T273" s="9">
        <v>0</v>
      </c>
      <c r="U273" s="54">
        <f t="shared" si="28"/>
        <v>0</v>
      </c>
      <c r="V273" s="11">
        <v>0</v>
      </c>
      <c r="W273" s="11" t="s">
        <v>180</v>
      </c>
      <c r="X273" s="9">
        <v>0</v>
      </c>
      <c r="Y273" s="9">
        <f t="shared" si="29"/>
        <v>0</v>
      </c>
      <c r="Z273" s="11">
        <v>0</v>
      </c>
      <c r="AA273" s="11" t="s">
        <v>310</v>
      </c>
      <c r="AB273" s="66" t="s">
        <v>245</v>
      </c>
      <c r="AC273" s="11" t="str">
        <f t="shared" si="25"/>
        <v>ENERGISA</v>
      </c>
      <c r="AD273" s="11" t="s">
        <v>6</v>
      </c>
      <c r="AE273" s="10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97" t="s">
        <v>184</v>
      </c>
      <c r="AQ273" s="100">
        <v>0</v>
      </c>
    </row>
    <row r="274" spans="1:43" hidden="1">
      <c r="A274" s="103">
        <v>45809</v>
      </c>
      <c r="B274" s="47" t="s">
        <v>198</v>
      </c>
      <c r="C274" s="2" t="s">
        <v>199</v>
      </c>
      <c r="D274" s="2" t="s">
        <v>200</v>
      </c>
      <c r="E274" s="4" t="s">
        <v>201</v>
      </c>
      <c r="F274" s="4" t="s">
        <v>173</v>
      </c>
      <c r="G274" s="5">
        <v>45835</v>
      </c>
      <c r="H274" s="31">
        <v>10930624.5</v>
      </c>
      <c r="I274" s="31">
        <v>10930624.5</v>
      </c>
      <c r="J274" s="52">
        <f t="shared" ref="J274:J275" si="30">I274/1000</f>
        <v>10930.6245</v>
      </c>
      <c r="K274" s="12">
        <v>45835</v>
      </c>
      <c r="L274" s="7" t="s">
        <v>175</v>
      </c>
      <c r="M274" s="34" t="s">
        <v>11</v>
      </c>
      <c r="N274" s="7" t="s">
        <v>243</v>
      </c>
      <c r="O274" s="84" t="s">
        <v>296</v>
      </c>
      <c r="P274" s="7" t="s">
        <v>203</v>
      </c>
      <c r="Q274" s="8" t="s">
        <v>179</v>
      </c>
      <c r="R274" s="9">
        <v>0</v>
      </c>
      <c r="S274" s="54">
        <f t="shared" si="27"/>
        <v>0</v>
      </c>
      <c r="T274" s="9">
        <v>0</v>
      </c>
      <c r="U274" s="54">
        <f t="shared" si="28"/>
        <v>0</v>
      </c>
      <c r="V274" s="11">
        <v>0</v>
      </c>
      <c r="W274" s="11" t="s">
        <v>180</v>
      </c>
      <c r="X274" s="9">
        <v>0</v>
      </c>
      <c r="Y274" s="9">
        <f t="shared" si="29"/>
        <v>0</v>
      </c>
      <c r="Z274" s="11">
        <v>0</v>
      </c>
      <c r="AA274" s="11" t="s">
        <v>310</v>
      </c>
      <c r="AB274" s="66" t="s">
        <v>245</v>
      </c>
      <c r="AC274" s="11" t="str">
        <f t="shared" si="25"/>
        <v>ENERGISA</v>
      </c>
      <c r="AD274" s="11" t="s">
        <v>6</v>
      </c>
      <c r="AE274" s="10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7" t="s">
        <v>184</v>
      </c>
      <c r="AQ274" s="100">
        <v>0</v>
      </c>
    </row>
    <row r="275" spans="1:43" hidden="1">
      <c r="A275" s="103">
        <v>45901</v>
      </c>
      <c r="B275" s="47" t="s">
        <v>198</v>
      </c>
      <c r="C275" s="2" t="s">
        <v>199</v>
      </c>
      <c r="D275" s="2" t="s">
        <v>200</v>
      </c>
      <c r="E275" s="4" t="s">
        <v>201</v>
      </c>
      <c r="F275" s="4" t="s">
        <v>173</v>
      </c>
      <c r="G275" s="5">
        <v>45870</v>
      </c>
      <c r="H275" s="31">
        <v>8197968</v>
      </c>
      <c r="I275" s="31">
        <v>8197968</v>
      </c>
      <c r="J275" s="52">
        <f t="shared" si="30"/>
        <v>8197.9680000000008</v>
      </c>
      <c r="K275" s="12">
        <v>45905</v>
      </c>
      <c r="L275" s="7" t="s">
        <v>175</v>
      </c>
      <c r="M275" s="34" t="s">
        <v>11</v>
      </c>
      <c r="N275" s="7" t="s">
        <v>243</v>
      </c>
      <c r="O275" s="84" t="s">
        <v>289</v>
      </c>
      <c r="P275" s="7" t="s">
        <v>203</v>
      </c>
      <c r="Q275" s="8" t="s">
        <v>179</v>
      </c>
      <c r="R275" s="9">
        <v>0</v>
      </c>
      <c r="S275" s="54">
        <f t="shared" si="27"/>
        <v>0</v>
      </c>
      <c r="T275" s="9">
        <v>0</v>
      </c>
      <c r="U275" s="54">
        <f t="shared" si="28"/>
        <v>0</v>
      </c>
      <c r="V275" s="11">
        <v>0</v>
      </c>
      <c r="W275" s="11" t="s">
        <v>180</v>
      </c>
      <c r="X275" s="9">
        <v>0</v>
      </c>
      <c r="Y275" s="9">
        <f t="shared" si="29"/>
        <v>0</v>
      </c>
      <c r="Z275" s="11">
        <v>0</v>
      </c>
      <c r="AA275" s="11" t="s">
        <v>310</v>
      </c>
      <c r="AB275" s="66" t="s">
        <v>245</v>
      </c>
      <c r="AC275" s="11" t="str">
        <f t="shared" si="25"/>
        <v>ENERGISA</v>
      </c>
      <c r="AD275" s="11" t="s">
        <v>6</v>
      </c>
      <c r="AE275" s="10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97" t="s">
        <v>184</v>
      </c>
      <c r="AQ275" s="100">
        <v>0</v>
      </c>
    </row>
    <row r="276" spans="1:43" hidden="1">
      <c r="A276" s="103">
        <v>45901</v>
      </c>
      <c r="B276" s="47" t="s">
        <v>198</v>
      </c>
      <c r="C276" s="2" t="s">
        <v>199</v>
      </c>
      <c r="D276" s="2" t="s">
        <v>200</v>
      </c>
      <c r="E276" s="4" t="s">
        <v>201</v>
      </c>
      <c r="F276" s="4" t="s">
        <v>173</v>
      </c>
      <c r="G276" s="5">
        <v>45870</v>
      </c>
      <c r="H276" s="31">
        <v>8197968</v>
      </c>
      <c r="I276" s="31">
        <v>8197968</v>
      </c>
      <c r="J276" s="52">
        <v>8197.9680000000008</v>
      </c>
      <c r="K276" s="12">
        <v>45905</v>
      </c>
      <c r="L276" s="7" t="s">
        <v>175</v>
      </c>
      <c r="M276" s="34" t="s">
        <v>11</v>
      </c>
      <c r="N276" s="7" t="s">
        <v>243</v>
      </c>
      <c r="O276" s="84" t="s">
        <v>297</v>
      </c>
      <c r="P276" s="7" t="s">
        <v>203</v>
      </c>
      <c r="Q276" s="8" t="s">
        <v>179</v>
      </c>
      <c r="R276" s="9">
        <v>0</v>
      </c>
      <c r="S276" s="54">
        <f t="shared" si="27"/>
        <v>0</v>
      </c>
      <c r="T276" s="9">
        <v>0</v>
      </c>
      <c r="U276" s="54">
        <f t="shared" si="28"/>
        <v>0</v>
      </c>
      <c r="V276" s="11">
        <v>0</v>
      </c>
      <c r="W276" s="11" t="s">
        <v>180</v>
      </c>
      <c r="X276" s="9">
        <v>0</v>
      </c>
      <c r="Y276" s="9">
        <f t="shared" si="29"/>
        <v>0</v>
      </c>
      <c r="Z276" s="11">
        <v>0</v>
      </c>
      <c r="AA276" s="11" t="s">
        <v>310</v>
      </c>
      <c r="AB276" s="66" t="s">
        <v>245</v>
      </c>
      <c r="AC276" s="11" t="str">
        <f t="shared" si="25"/>
        <v>ENERGISA</v>
      </c>
      <c r="AD276" s="11" t="s">
        <v>6</v>
      </c>
      <c r="AE276" s="10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97" t="s">
        <v>184</v>
      </c>
      <c r="AQ276" s="100">
        <v>0</v>
      </c>
    </row>
    <row r="277" spans="1:43" hidden="1">
      <c r="A277" s="103">
        <v>45992</v>
      </c>
      <c r="B277" s="47" t="s">
        <v>226</v>
      </c>
      <c r="C277" s="2" t="s">
        <v>313</v>
      </c>
      <c r="D277" s="2" t="s">
        <v>332</v>
      </c>
      <c r="E277" s="4" t="s">
        <v>333</v>
      </c>
      <c r="F277" s="4" t="s">
        <v>173</v>
      </c>
      <c r="G277" s="5">
        <v>45992</v>
      </c>
      <c r="H277" s="31">
        <v>268453179.60000002</v>
      </c>
      <c r="I277" s="31">
        <v>268453179.60000002</v>
      </c>
      <c r="J277" s="52">
        <f t="shared" ref="J277:J300" si="31">I277/1000</f>
        <v>268453.17960000003</v>
      </c>
      <c r="K277" s="12">
        <v>46007</v>
      </c>
      <c r="L277" s="7" t="s">
        <v>175</v>
      </c>
      <c r="M277" s="34" t="s">
        <v>27</v>
      </c>
      <c r="N277" s="7" t="s">
        <v>334</v>
      </c>
      <c r="O277" s="7" t="s">
        <v>284</v>
      </c>
      <c r="P277" s="7" t="s">
        <v>315</v>
      </c>
      <c r="Q277" s="8" t="s">
        <v>179</v>
      </c>
      <c r="R277" s="9">
        <v>1167187740</v>
      </c>
      <c r="S277" s="54">
        <f t="shared" si="27"/>
        <v>1167187.74</v>
      </c>
      <c r="T277" s="9">
        <v>933750190</v>
      </c>
      <c r="U277" s="54">
        <f t="shared" si="28"/>
        <v>933750.19</v>
      </c>
      <c r="V277" s="10">
        <v>0.79999999828647961</v>
      </c>
      <c r="W277" s="11" t="s">
        <v>180</v>
      </c>
      <c r="X277" s="9">
        <v>0</v>
      </c>
      <c r="Y277" s="9">
        <f t="shared" si="29"/>
        <v>0</v>
      </c>
      <c r="Z277" s="11">
        <v>0</v>
      </c>
      <c r="AA277" s="11" t="s">
        <v>310</v>
      </c>
      <c r="AB277" s="11" t="s">
        <v>335</v>
      </c>
      <c r="AC277" s="11" t="str">
        <f t="shared" si="25"/>
        <v xml:space="preserve">NEOENERGIA </v>
      </c>
      <c r="AD277" s="11" t="s">
        <v>6</v>
      </c>
      <c r="AE277" s="10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f>AK277*1000</f>
        <v>1167187740</v>
      </c>
      <c r="AK277" s="9">
        <v>1167187.74</v>
      </c>
      <c r="AL277" s="9">
        <v>1</v>
      </c>
      <c r="AM277" s="9">
        <f>AN277*1000</f>
        <v>0</v>
      </c>
      <c r="AN277" s="9">
        <v>0</v>
      </c>
      <c r="AO277" s="9">
        <v>0</v>
      </c>
      <c r="AP277" s="97" t="s">
        <v>184</v>
      </c>
      <c r="AQ277" s="100">
        <v>0.15240000000000001</v>
      </c>
    </row>
    <row r="278" spans="1:43" hidden="1">
      <c r="A278" s="103">
        <v>45992</v>
      </c>
      <c r="B278" s="47" t="s">
        <v>226</v>
      </c>
      <c r="C278" s="2" t="s">
        <v>313</v>
      </c>
      <c r="D278" s="2" t="s">
        <v>311</v>
      </c>
      <c r="E278" s="4" t="s">
        <v>312</v>
      </c>
      <c r="F278" s="4" t="s">
        <v>173</v>
      </c>
      <c r="G278" s="5">
        <v>45992</v>
      </c>
      <c r="H278" s="31">
        <v>11671877.4</v>
      </c>
      <c r="I278" s="31">
        <v>11671877.4</v>
      </c>
      <c r="J278" s="52">
        <f t="shared" si="31"/>
        <v>11671.877400000001</v>
      </c>
      <c r="K278" s="12">
        <v>46007</v>
      </c>
      <c r="L278" s="7" t="s">
        <v>175</v>
      </c>
      <c r="M278" s="34" t="s">
        <v>27</v>
      </c>
      <c r="N278" s="7" t="s">
        <v>334</v>
      </c>
      <c r="O278" s="7" t="s">
        <v>284</v>
      </c>
      <c r="P278" s="7" t="s">
        <v>315</v>
      </c>
      <c r="Q278" s="8" t="s">
        <v>179</v>
      </c>
      <c r="R278" s="9">
        <v>0</v>
      </c>
      <c r="S278" s="54">
        <f t="shared" si="27"/>
        <v>0</v>
      </c>
      <c r="T278" s="9">
        <v>0</v>
      </c>
      <c r="U278" s="54">
        <f t="shared" si="28"/>
        <v>0</v>
      </c>
      <c r="V278" s="10">
        <v>0</v>
      </c>
      <c r="W278" s="11" t="s">
        <v>180</v>
      </c>
      <c r="X278" s="9">
        <v>0</v>
      </c>
      <c r="Y278" s="9">
        <f t="shared" si="29"/>
        <v>0</v>
      </c>
      <c r="Z278" s="11">
        <v>0</v>
      </c>
      <c r="AA278" s="11" t="s">
        <v>310</v>
      </c>
      <c r="AB278" s="11" t="s">
        <v>335</v>
      </c>
      <c r="AC278" s="11" t="str">
        <f t="shared" si="25"/>
        <v xml:space="preserve">NEOENERGIA </v>
      </c>
      <c r="AD278" s="11" t="s">
        <v>6</v>
      </c>
      <c r="AE278" s="10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97" t="s">
        <v>184</v>
      </c>
      <c r="AQ278" s="100">
        <v>0</v>
      </c>
    </row>
    <row r="279" spans="1:43" hidden="1">
      <c r="A279" s="103">
        <v>45809</v>
      </c>
      <c r="B279" s="47" t="s">
        <v>290</v>
      </c>
      <c r="C279" s="2" t="s">
        <v>290</v>
      </c>
      <c r="D279" s="2" t="s">
        <v>294</v>
      </c>
      <c r="E279" s="4" t="s">
        <v>295</v>
      </c>
      <c r="F279" s="4" t="s">
        <v>173</v>
      </c>
      <c r="G279" s="5">
        <v>45835</v>
      </c>
      <c r="H279" s="31">
        <v>61864951.200000003</v>
      </c>
      <c r="I279" s="31">
        <v>61864951.200000003</v>
      </c>
      <c r="J279" s="52">
        <f t="shared" si="31"/>
        <v>61864.951200000003</v>
      </c>
      <c r="K279" s="12">
        <v>45814</v>
      </c>
      <c r="L279" s="7" t="s">
        <v>175</v>
      </c>
      <c r="M279" s="34" t="s">
        <v>13</v>
      </c>
      <c r="N279" s="7" t="s">
        <v>229</v>
      </c>
      <c r="O279" s="7" t="s">
        <v>284</v>
      </c>
      <c r="P279" s="7" t="s">
        <v>291</v>
      </c>
      <c r="Q279" s="8" t="s">
        <v>179</v>
      </c>
      <c r="R279" s="9">
        <v>237942120</v>
      </c>
      <c r="S279" s="54">
        <f t="shared" si="27"/>
        <v>237942.12</v>
      </c>
      <c r="T279" s="9">
        <v>214147908</v>
      </c>
      <c r="U279" s="54">
        <f t="shared" si="28"/>
        <v>214147.908</v>
      </c>
      <c r="V279" s="10">
        <v>0.9</v>
      </c>
      <c r="W279" s="11" t="s">
        <v>180</v>
      </c>
      <c r="X279" s="9">
        <v>0</v>
      </c>
      <c r="Y279" s="9">
        <f t="shared" si="29"/>
        <v>0</v>
      </c>
      <c r="Z279" s="11">
        <v>0</v>
      </c>
      <c r="AA279" s="11" t="s">
        <v>310</v>
      </c>
      <c r="AB279" s="66" t="s">
        <v>221</v>
      </c>
      <c r="AC279" s="11" t="str">
        <f t="shared" si="25"/>
        <v>RORAIMA ENERGIA</v>
      </c>
      <c r="AD279" s="11" t="s">
        <v>6</v>
      </c>
      <c r="AE279" s="10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f>AK279*1000</f>
        <v>216311980</v>
      </c>
      <c r="AK279" s="9">
        <v>216311.98</v>
      </c>
      <c r="AL279" s="9">
        <v>0.90900000000000003</v>
      </c>
      <c r="AM279" s="9">
        <f>AN279*1000</f>
        <v>21630140</v>
      </c>
      <c r="AN279" s="9">
        <v>21630.14</v>
      </c>
      <c r="AO279" s="9">
        <v>9.0999999999999998E-2</v>
      </c>
      <c r="AP279" s="97" t="s">
        <v>184</v>
      </c>
      <c r="AQ279" s="100">
        <v>0.1016</v>
      </c>
    </row>
    <row r="280" spans="1:43" hidden="1">
      <c r="A280" s="103">
        <v>45809</v>
      </c>
      <c r="B280" s="47" t="s">
        <v>290</v>
      </c>
      <c r="C280" s="2" t="s">
        <v>290</v>
      </c>
      <c r="D280" s="2" t="s">
        <v>311</v>
      </c>
      <c r="E280" s="4" t="s">
        <v>312</v>
      </c>
      <c r="F280" s="4" t="s">
        <v>173</v>
      </c>
      <c r="G280" s="5">
        <v>45835</v>
      </c>
      <c r="H280" s="31">
        <v>2379421.2000000002</v>
      </c>
      <c r="I280" s="31">
        <v>2379421.2000000002</v>
      </c>
      <c r="J280" s="52">
        <f t="shared" si="31"/>
        <v>2379.4212000000002</v>
      </c>
      <c r="K280" s="12">
        <v>45814</v>
      </c>
      <c r="L280" s="7" t="s">
        <v>175</v>
      </c>
      <c r="M280" s="34" t="s">
        <v>13</v>
      </c>
      <c r="N280" s="7" t="s">
        <v>220</v>
      </c>
      <c r="O280" s="7" t="s">
        <v>284</v>
      </c>
      <c r="P280" s="7" t="s">
        <v>291</v>
      </c>
      <c r="Q280" s="8" t="s">
        <v>179</v>
      </c>
      <c r="R280" s="9">
        <v>0</v>
      </c>
      <c r="S280" s="54">
        <f t="shared" si="27"/>
        <v>0</v>
      </c>
      <c r="T280" s="9">
        <v>0</v>
      </c>
      <c r="U280" s="54">
        <f t="shared" si="28"/>
        <v>0</v>
      </c>
      <c r="V280" s="10">
        <v>0</v>
      </c>
      <c r="W280" s="11" t="s">
        <v>180</v>
      </c>
      <c r="X280" s="9">
        <v>0</v>
      </c>
      <c r="Y280" s="9">
        <f t="shared" si="29"/>
        <v>0</v>
      </c>
      <c r="Z280" s="11">
        <v>0</v>
      </c>
      <c r="AA280" s="11" t="s">
        <v>310</v>
      </c>
      <c r="AB280" s="66" t="s">
        <v>221</v>
      </c>
      <c r="AC280" s="11" t="str">
        <f t="shared" si="25"/>
        <v>RORAIMA ENERGIA</v>
      </c>
      <c r="AD280" s="11" t="s">
        <v>6</v>
      </c>
      <c r="AE280" s="10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7" t="s">
        <v>184</v>
      </c>
      <c r="AQ280" s="100">
        <v>0</v>
      </c>
    </row>
    <row r="281" spans="1:43" hidden="1">
      <c r="A281" s="103">
        <v>45901</v>
      </c>
      <c r="B281" s="45" t="s">
        <v>222</v>
      </c>
      <c r="C281" s="2" t="s">
        <v>222</v>
      </c>
      <c r="D281" s="2" t="s">
        <v>336</v>
      </c>
      <c r="E281" s="4" t="s">
        <v>224</v>
      </c>
      <c r="F281" s="4" t="s">
        <v>173</v>
      </c>
      <c r="G281" s="5">
        <v>45901</v>
      </c>
      <c r="H281" s="31">
        <v>685839.3</v>
      </c>
      <c r="I281" s="31">
        <v>685839.3</v>
      </c>
      <c r="J281" s="52">
        <f t="shared" si="31"/>
        <v>685.83930000000009</v>
      </c>
      <c r="K281" s="12">
        <v>45912</v>
      </c>
      <c r="L281" s="7" t="s">
        <v>175</v>
      </c>
      <c r="M281" s="34" t="s">
        <v>15</v>
      </c>
      <c r="N281" s="7" t="s">
        <v>202</v>
      </c>
      <c r="O281" s="7" t="s">
        <v>284</v>
      </c>
      <c r="P281" s="7" t="s">
        <v>225</v>
      </c>
      <c r="Q281" s="8" t="s">
        <v>179</v>
      </c>
      <c r="R281" s="9">
        <v>2981910</v>
      </c>
      <c r="S281" s="54">
        <f t="shared" si="27"/>
        <v>2981.91</v>
      </c>
      <c r="T281" s="9">
        <v>2385528</v>
      </c>
      <c r="U281" s="54">
        <f t="shared" si="28"/>
        <v>2385.5279999999998</v>
      </c>
      <c r="V281" s="10">
        <v>0.8</v>
      </c>
      <c r="W281" s="11" t="s">
        <v>180</v>
      </c>
      <c r="X281" s="9">
        <v>0</v>
      </c>
      <c r="Y281" s="9">
        <f t="shared" si="29"/>
        <v>0</v>
      </c>
      <c r="Z281" s="11">
        <v>0</v>
      </c>
      <c r="AA281" s="11" t="s">
        <v>310</v>
      </c>
      <c r="AB281" s="66" t="s">
        <v>204</v>
      </c>
      <c r="AC281" s="11" t="s">
        <v>182</v>
      </c>
      <c r="AD281" s="11" t="s">
        <v>6</v>
      </c>
      <c r="AE281" s="10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f>AK281*1000</f>
        <v>2935100</v>
      </c>
      <c r="AK281" s="9">
        <v>2935.1</v>
      </c>
      <c r="AL281" s="9">
        <v>0.98399999999999999</v>
      </c>
      <c r="AM281" s="9">
        <f>AN281*1000</f>
        <v>46810</v>
      </c>
      <c r="AN281" s="9">
        <v>46.81</v>
      </c>
      <c r="AO281" s="9">
        <v>1.6E-2</v>
      </c>
      <c r="AP281" s="97" t="s">
        <v>184</v>
      </c>
      <c r="AQ281" s="100">
        <v>0</v>
      </c>
    </row>
    <row r="282" spans="1:43" hidden="1">
      <c r="A282" s="103">
        <v>45901</v>
      </c>
      <c r="B282" s="45" t="s">
        <v>222</v>
      </c>
      <c r="C282" s="2" t="s">
        <v>222</v>
      </c>
      <c r="D282" s="2" t="s">
        <v>311</v>
      </c>
      <c r="E282" s="4" t="s">
        <v>312</v>
      </c>
      <c r="F282" s="4" t="s">
        <v>173</v>
      </c>
      <c r="G282" s="5">
        <v>45901</v>
      </c>
      <c r="H282" s="31">
        <v>29819.1</v>
      </c>
      <c r="I282" s="31">
        <v>29819.1</v>
      </c>
      <c r="J282" s="52">
        <f t="shared" si="31"/>
        <v>29.819099999999999</v>
      </c>
      <c r="K282" s="12">
        <v>45912</v>
      </c>
      <c r="L282" s="7" t="s">
        <v>175</v>
      </c>
      <c r="M282" s="34" t="s">
        <v>15</v>
      </c>
      <c r="N282" s="7" t="s">
        <v>202</v>
      </c>
      <c r="O282" s="7" t="s">
        <v>284</v>
      </c>
      <c r="P282" s="7" t="s">
        <v>225</v>
      </c>
      <c r="Q282" s="8" t="s">
        <v>179</v>
      </c>
      <c r="R282" s="9">
        <v>0</v>
      </c>
      <c r="S282" s="54">
        <f t="shared" si="27"/>
        <v>0</v>
      </c>
      <c r="T282" s="9">
        <v>0</v>
      </c>
      <c r="U282" s="54">
        <f t="shared" si="28"/>
        <v>0</v>
      </c>
      <c r="V282" s="10">
        <v>0</v>
      </c>
      <c r="W282" s="11" t="s">
        <v>180</v>
      </c>
      <c r="X282" s="9">
        <v>0</v>
      </c>
      <c r="Y282" s="9">
        <f t="shared" si="29"/>
        <v>0</v>
      </c>
      <c r="Z282" s="11">
        <v>0</v>
      </c>
      <c r="AA282" s="11" t="s">
        <v>310</v>
      </c>
      <c r="AB282" s="66" t="s">
        <v>204</v>
      </c>
      <c r="AC282" s="11" t="s">
        <v>182</v>
      </c>
      <c r="AD282" s="11" t="s">
        <v>6</v>
      </c>
      <c r="AE282" s="10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97" t="s">
        <v>184</v>
      </c>
      <c r="AQ282" s="100">
        <v>0</v>
      </c>
    </row>
    <row r="283" spans="1:43" hidden="1">
      <c r="A283" s="103">
        <v>45901</v>
      </c>
      <c r="B283" s="47" t="s">
        <v>198</v>
      </c>
      <c r="C283" s="2" t="s">
        <v>205</v>
      </c>
      <c r="D283" s="2" t="s">
        <v>206</v>
      </c>
      <c r="E283" s="4" t="s">
        <v>207</v>
      </c>
      <c r="F283" s="4" t="s">
        <v>173</v>
      </c>
      <c r="G283" s="5">
        <v>45901</v>
      </c>
      <c r="H283" s="31">
        <v>45234441.799999997</v>
      </c>
      <c r="I283" s="31">
        <v>45234441.799999997</v>
      </c>
      <c r="J283" s="52">
        <f t="shared" si="31"/>
        <v>45234.441800000001</v>
      </c>
      <c r="K283" s="12">
        <v>45930</v>
      </c>
      <c r="L283" s="7" t="s">
        <v>175</v>
      </c>
      <c r="M283" s="34" t="s">
        <v>19</v>
      </c>
      <c r="N283" s="7" t="s">
        <v>243</v>
      </c>
      <c r="O283" s="7" t="s">
        <v>284</v>
      </c>
      <c r="P283" s="7" t="s">
        <v>209</v>
      </c>
      <c r="Q283" s="8" t="s">
        <v>179</v>
      </c>
      <c r="R283" s="9">
        <v>173978620</v>
      </c>
      <c r="S283" s="54">
        <f t="shared" si="27"/>
        <v>173978.62</v>
      </c>
      <c r="T283" s="9">
        <v>156580760</v>
      </c>
      <c r="U283" s="54">
        <f t="shared" si="28"/>
        <v>156580.76</v>
      </c>
      <c r="V283" s="10">
        <v>0.90000001149566544</v>
      </c>
      <c r="W283" s="11" t="s">
        <v>180</v>
      </c>
      <c r="X283" s="9">
        <v>0</v>
      </c>
      <c r="Y283" s="9">
        <f t="shared" si="29"/>
        <v>0</v>
      </c>
      <c r="Z283" s="11">
        <v>0</v>
      </c>
      <c r="AA283" s="11" t="s">
        <v>310</v>
      </c>
      <c r="AB283" s="66" t="s">
        <v>245</v>
      </c>
      <c r="AC283" s="11" t="str">
        <f t="shared" ref="AC283:AC314" si="32">B283</f>
        <v>ENERGISA</v>
      </c>
      <c r="AD283" s="11" t="s">
        <v>6</v>
      </c>
      <c r="AE283" s="10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f>AK283*1000</f>
        <v>158816410</v>
      </c>
      <c r="AK283" s="9">
        <v>158816.41</v>
      </c>
      <c r="AL283" s="9">
        <v>0.90900000000000003</v>
      </c>
      <c r="AM283" s="9">
        <f>AN283*1000</f>
        <v>15816210</v>
      </c>
      <c r="AN283" s="9">
        <v>15816.21</v>
      </c>
      <c r="AO283" s="9">
        <v>9.0999999999999998E-2</v>
      </c>
      <c r="AP283" s="97" t="s">
        <v>184</v>
      </c>
      <c r="AQ283" s="100">
        <v>0.67349999999999999</v>
      </c>
    </row>
    <row r="284" spans="1:43" hidden="1">
      <c r="A284" s="103">
        <v>45901</v>
      </c>
      <c r="B284" s="47" t="s">
        <v>290</v>
      </c>
      <c r="C284" s="2" t="s">
        <v>290</v>
      </c>
      <c r="D284" s="2" t="s">
        <v>311</v>
      </c>
      <c r="E284" s="4" t="s">
        <v>312</v>
      </c>
      <c r="F284" s="4" t="s">
        <v>173</v>
      </c>
      <c r="G284" s="5">
        <v>45901</v>
      </c>
      <c r="H284" s="31">
        <v>1739786.2</v>
      </c>
      <c r="I284" s="31">
        <v>1739786.2</v>
      </c>
      <c r="J284" s="52">
        <f t="shared" si="31"/>
        <v>1739.7862</v>
      </c>
      <c r="K284" s="12">
        <v>45930</v>
      </c>
      <c r="L284" s="7" t="s">
        <v>175</v>
      </c>
      <c r="M284" s="34" t="s">
        <v>19</v>
      </c>
      <c r="N284" s="7" t="s">
        <v>243</v>
      </c>
      <c r="O284" s="7" t="s">
        <v>284</v>
      </c>
      <c r="P284" s="7" t="s">
        <v>291</v>
      </c>
      <c r="Q284" s="8" t="s">
        <v>179</v>
      </c>
      <c r="R284" s="9">
        <v>0</v>
      </c>
      <c r="S284" s="54">
        <f t="shared" si="27"/>
        <v>0</v>
      </c>
      <c r="T284" s="9">
        <v>0</v>
      </c>
      <c r="U284" s="54">
        <f t="shared" si="28"/>
        <v>0</v>
      </c>
      <c r="V284" s="10">
        <v>0</v>
      </c>
      <c r="W284" s="11" t="s">
        <v>180</v>
      </c>
      <c r="X284" s="9">
        <v>0</v>
      </c>
      <c r="Y284" s="9">
        <f t="shared" si="29"/>
        <v>0</v>
      </c>
      <c r="Z284" s="11">
        <v>0</v>
      </c>
      <c r="AA284" s="11" t="s">
        <v>310</v>
      </c>
      <c r="AB284" s="66" t="s">
        <v>245</v>
      </c>
      <c r="AC284" s="11" t="str">
        <f t="shared" si="32"/>
        <v>RORAIMA ENERGIA</v>
      </c>
      <c r="AD284" s="11" t="s">
        <v>6</v>
      </c>
      <c r="AE284" s="10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0</v>
      </c>
      <c r="AN284" s="9">
        <v>0</v>
      </c>
      <c r="AO284" s="9">
        <v>0</v>
      </c>
      <c r="AP284" s="97" t="s">
        <v>184</v>
      </c>
      <c r="AQ284" s="100">
        <v>0</v>
      </c>
    </row>
    <row r="285" spans="1:43" hidden="1">
      <c r="A285" s="103">
        <v>45992</v>
      </c>
      <c r="B285" s="47" t="s">
        <v>198</v>
      </c>
      <c r="C285" s="2" t="s">
        <v>205</v>
      </c>
      <c r="D285" s="2" t="s">
        <v>206</v>
      </c>
      <c r="E285" s="4" t="s">
        <v>207</v>
      </c>
      <c r="F285" s="4" t="s">
        <v>173</v>
      </c>
      <c r="G285" s="5">
        <v>45992</v>
      </c>
      <c r="H285" s="92">
        <v>31316152</v>
      </c>
      <c r="I285" s="92">
        <v>31316152</v>
      </c>
      <c r="J285" s="52">
        <f t="shared" si="31"/>
        <v>31316.151999999998</v>
      </c>
      <c r="K285" s="12">
        <v>46010</v>
      </c>
      <c r="L285" s="7" t="s">
        <v>175</v>
      </c>
      <c r="M285" s="34" t="s">
        <v>19</v>
      </c>
      <c r="N285" s="7" t="s">
        <v>243</v>
      </c>
      <c r="O285" s="84" t="s">
        <v>287</v>
      </c>
      <c r="P285" s="7" t="s">
        <v>209</v>
      </c>
      <c r="Q285" s="8" t="s">
        <v>179</v>
      </c>
      <c r="R285" s="9">
        <v>0</v>
      </c>
      <c r="S285" s="54">
        <f t="shared" si="27"/>
        <v>0</v>
      </c>
      <c r="T285" s="9">
        <v>0</v>
      </c>
      <c r="U285" s="54">
        <f t="shared" si="28"/>
        <v>0</v>
      </c>
      <c r="V285" s="11">
        <v>0</v>
      </c>
      <c r="W285" s="11" t="s">
        <v>180</v>
      </c>
      <c r="X285" s="9">
        <v>0</v>
      </c>
      <c r="Y285" s="9">
        <f t="shared" si="29"/>
        <v>0</v>
      </c>
      <c r="Z285" s="11">
        <v>0</v>
      </c>
      <c r="AA285" s="11" t="s">
        <v>310</v>
      </c>
      <c r="AB285" s="66" t="s">
        <v>245</v>
      </c>
      <c r="AC285" s="11" t="str">
        <f t="shared" si="32"/>
        <v>ENERGISA</v>
      </c>
      <c r="AD285" s="11" t="s">
        <v>6</v>
      </c>
      <c r="AE285" s="10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0</v>
      </c>
      <c r="AN285" s="9">
        <v>0</v>
      </c>
      <c r="AO285" s="9">
        <v>0</v>
      </c>
      <c r="AP285" s="97" t="s">
        <v>184</v>
      </c>
      <c r="AQ285" s="100">
        <v>0</v>
      </c>
    </row>
    <row r="286" spans="1:43" hidden="1">
      <c r="A286" s="103">
        <v>45992</v>
      </c>
      <c r="B286" s="47" t="s">
        <v>198</v>
      </c>
      <c r="C286" s="2" t="s">
        <v>205</v>
      </c>
      <c r="D286" s="2" t="s">
        <v>206</v>
      </c>
      <c r="E286" s="4" t="s">
        <v>207</v>
      </c>
      <c r="F286" s="4" t="s">
        <v>173</v>
      </c>
      <c r="G286" s="5">
        <v>45992</v>
      </c>
      <c r="H286" s="93">
        <v>15658076</v>
      </c>
      <c r="I286" s="93">
        <v>15658076</v>
      </c>
      <c r="J286" s="52">
        <f t="shared" si="31"/>
        <v>15658.075999999999</v>
      </c>
      <c r="K286" s="12">
        <v>46010</v>
      </c>
      <c r="L286" s="7" t="s">
        <v>175</v>
      </c>
      <c r="M286" s="34" t="s">
        <v>19</v>
      </c>
      <c r="N286" s="7" t="s">
        <v>243</v>
      </c>
      <c r="O286" s="84" t="s">
        <v>296</v>
      </c>
      <c r="P286" s="7" t="s">
        <v>209</v>
      </c>
      <c r="Q286" s="8" t="s">
        <v>179</v>
      </c>
      <c r="R286" s="9">
        <v>0</v>
      </c>
      <c r="S286" s="54">
        <f t="shared" si="27"/>
        <v>0</v>
      </c>
      <c r="T286" s="9">
        <v>0</v>
      </c>
      <c r="U286" s="54">
        <f t="shared" si="28"/>
        <v>0</v>
      </c>
      <c r="V286" s="11">
        <v>0</v>
      </c>
      <c r="W286" s="11" t="s">
        <v>180</v>
      </c>
      <c r="X286" s="9">
        <v>0</v>
      </c>
      <c r="Y286" s="9">
        <f t="shared" si="29"/>
        <v>0</v>
      </c>
      <c r="Z286" s="11">
        <v>0</v>
      </c>
      <c r="AA286" s="11" t="s">
        <v>310</v>
      </c>
      <c r="AB286" s="66" t="s">
        <v>245</v>
      </c>
      <c r="AC286" s="11" t="str">
        <f t="shared" si="32"/>
        <v>ENERGISA</v>
      </c>
      <c r="AD286" s="11" t="s">
        <v>6</v>
      </c>
      <c r="AE286" s="10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0</v>
      </c>
      <c r="AN286" s="9">
        <v>0</v>
      </c>
      <c r="AO286" s="9">
        <v>0</v>
      </c>
      <c r="AP286" s="97" t="s">
        <v>184</v>
      </c>
      <c r="AQ286" s="100">
        <v>0</v>
      </c>
    </row>
    <row r="287" spans="1:43" hidden="1">
      <c r="A287" s="103">
        <v>45992</v>
      </c>
      <c r="B287" s="47" t="s">
        <v>198</v>
      </c>
      <c r="C287" s="2" t="s">
        <v>205</v>
      </c>
      <c r="D287" s="2" t="s">
        <v>206</v>
      </c>
      <c r="E287" s="4" t="s">
        <v>207</v>
      </c>
      <c r="F287" s="4" t="s">
        <v>173</v>
      </c>
      <c r="G287" s="5">
        <v>45992</v>
      </c>
      <c r="H287" s="93">
        <v>15658076</v>
      </c>
      <c r="I287" s="93">
        <v>15658076</v>
      </c>
      <c r="J287" s="52">
        <f t="shared" si="31"/>
        <v>15658.075999999999</v>
      </c>
      <c r="K287" s="12">
        <v>46010</v>
      </c>
      <c r="L287" s="7" t="s">
        <v>175</v>
      </c>
      <c r="M287" s="34" t="s">
        <v>19</v>
      </c>
      <c r="N287" s="7" t="s">
        <v>243</v>
      </c>
      <c r="O287" s="84" t="s">
        <v>289</v>
      </c>
      <c r="P287" s="7" t="s">
        <v>209</v>
      </c>
      <c r="Q287" s="8" t="s">
        <v>179</v>
      </c>
      <c r="R287" s="9">
        <v>0</v>
      </c>
      <c r="S287" s="54">
        <f t="shared" si="27"/>
        <v>0</v>
      </c>
      <c r="T287" s="9">
        <v>0</v>
      </c>
      <c r="U287" s="54">
        <f t="shared" si="28"/>
        <v>0</v>
      </c>
      <c r="V287" s="11">
        <v>0</v>
      </c>
      <c r="W287" s="11" t="s">
        <v>180</v>
      </c>
      <c r="X287" s="9">
        <v>0</v>
      </c>
      <c r="Y287" s="9">
        <f t="shared" si="29"/>
        <v>0</v>
      </c>
      <c r="Z287" s="11">
        <v>0</v>
      </c>
      <c r="AA287" s="11" t="s">
        <v>310</v>
      </c>
      <c r="AB287" s="66" t="s">
        <v>245</v>
      </c>
      <c r="AC287" s="11" t="str">
        <f t="shared" si="32"/>
        <v>ENERGISA</v>
      </c>
      <c r="AD287" s="11" t="s">
        <v>6</v>
      </c>
      <c r="AE287" s="10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7" t="s">
        <v>184</v>
      </c>
      <c r="AQ287" s="100">
        <v>0</v>
      </c>
    </row>
    <row r="288" spans="1:43" hidden="1">
      <c r="A288" s="103">
        <v>45992</v>
      </c>
      <c r="B288" s="47" t="s">
        <v>198</v>
      </c>
      <c r="C288" s="2" t="s">
        <v>205</v>
      </c>
      <c r="D288" s="2" t="s">
        <v>206</v>
      </c>
      <c r="E288" s="4" t="s">
        <v>207</v>
      </c>
      <c r="F288" s="4" t="s">
        <v>173</v>
      </c>
      <c r="G288" s="5">
        <v>45992</v>
      </c>
      <c r="H288" s="93">
        <v>15658076</v>
      </c>
      <c r="I288" s="93">
        <v>15658076</v>
      </c>
      <c r="J288" s="52">
        <f t="shared" si="31"/>
        <v>15658.075999999999</v>
      </c>
      <c r="K288" s="12">
        <v>46010</v>
      </c>
      <c r="L288" s="7" t="s">
        <v>175</v>
      </c>
      <c r="M288" s="34" t="s">
        <v>19</v>
      </c>
      <c r="N288" s="7" t="s">
        <v>243</v>
      </c>
      <c r="O288" s="84" t="s">
        <v>297</v>
      </c>
      <c r="P288" s="7" t="s">
        <v>209</v>
      </c>
      <c r="Q288" s="8" t="s">
        <v>179</v>
      </c>
      <c r="R288" s="9">
        <v>0</v>
      </c>
      <c r="S288" s="54">
        <f t="shared" si="27"/>
        <v>0</v>
      </c>
      <c r="T288" s="9">
        <v>0</v>
      </c>
      <c r="U288" s="54">
        <f t="shared" si="28"/>
        <v>0</v>
      </c>
      <c r="V288" s="11">
        <v>0</v>
      </c>
      <c r="W288" s="11" t="s">
        <v>180</v>
      </c>
      <c r="X288" s="9">
        <v>0</v>
      </c>
      <c r="Y288" s="9">
        <f t="shared" si="29"/>
        <v>0</v>
      </c>
      <c r="Z288" s="11">
        <v>0</v>
      </c>
      <c r="AA288" s="11" t="s">
        <v>310</v>
      </c>
      <c r="AB288" s="66" t="s">
        <v>245</v>
      </c>
      <c r="AC288" s="11" t="str">
        <f t="shared" si="32"/>
        <v>ENERGISA</v>
      </c>
      <c r="AD288" s="11" t="s">
        <v>6</v>
      </c>
      <c r="AE288" s="10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9">
        <v>0</v>
      </c>
      <c r="AN288" s="9">
        <v>0</v>
      </c>
      <c r="AO288" s="9">
        <v>0</v>
      </c>
      <c r="AP288" s="97" t="s">
        <v>184</v>
      </c>
      <c r="AQ288" s="100">
        <v>0</v>
      </c>
    </row>
    <row r="289" spans="1:43" hidden="1">
      <c r="A289" s="103">
        <v>45992</v>
      </c>
      <c r="B289" s="47" t="s">
        <v>187</v>
      </c>
      <c r="C289" s="2" t="s">
        <v>278</v>
      </c>
      <c r="D289" s="2" t="s">
        <v>279</v>
      </c>
      <c r="E289" s="4" t="s">
        <v>280</v>
      </c>
      <c r="F289" s="4" t="s">
        <v>173</v>
      </c>
      <c r="G289" s="5">
        <v>45992</v>
      </c>
      <c r="H289" s="31">
        <v>165469719.40000001</v>
      </c>
      <c r="I289" s="31">
        <v>165469719.40000001</v>
      </c>
      <c r="J289" s="52">
        <f t="shared" si="31"/>
        <v>165469.7194</v>
      </c>
      <c r="K289" s="12">
        <v>46010</v>
      </c>
      <c r="L289" s="7" t="s">
        <v>175</v>
      </c>
      <c r="M289" s="34" t="s">
        <v>34</v>
      </c>
      <c r="N289" s="7" t="s">
        <v>334</v>
      </c>
      <c r="O289" s="7" t="s">
        <v>284</v>
      </c>
      <c r="P289" s="7" t="s">
        <v>281</v>
      </c>
      <c r="Q289" s="8" t="s">
        <v>179</v>
      </c>
      <c r="R289" s="9">
        <v>719433560</v>
      </c>
      <c r="S289" s="54">
        <f t="shared" si="27"/>
        <v>719433.56</v>
      </c>
      <c r="T289" s="9">
        <v>575546850</v>
      </c>
      <c r="U289" s="54">
        <f t="shared" si="28"/>
        <v>575546.85</v>
      </c>
      <c r="V289" s="10">
        <v>0.80000000277996486</v>
      </c>
      <c r="W289" s="11" t="s">
        <v>180</v>
      </c>
      <c r="X289" s="9">
        <v>0</v>
      </c>
      <c r="Y289" s="9">
        <f t="shared" si="29"/>
        <v>0</v>
      </c>
      <c r="Z289" s="11">
        <v>0</v>
      </c>
      <c r="AA289" s="11" t="s">
        <v>310</v>
      </c>
      <c r="AB289" s="11" t="s">
        <v>335</v>
      </c>
      <c r="AC289" s="11" t="str">
        <f t="shared" si="32"/>
        <v>EQUATORIAL</v>
      </c>
      <c r="AD289" s="11" t="s">
        <v>6</v>
      </c>
      <c r="AE289" s="10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f>AK289*1000</f>
        <v>647555080</v>
      </c>
      <c r="AK289" s="81">
        <v>647555.07999999996</v>
      </c>
      <c r="AL289" s="9">
        <v>0.9</v>
      </c>
      <c r="AM289" s="9">
        <f>AN289*1000</f>
        <v>71878480</v>
      </c>
      <c r="AN289" s="9">
        <v>71878.48</v>
      </c>
      <c r="AO289" s="9">
        <v>0.1</v>
      </c>
      <c r="AP289" s="97" t="s">
        <v>184</v>
      </c>
      <c r="AQ289" s="100">
        <v>0.39400000000000002</v>
      </c>
    </row>
    <row r="290" spans="1:43" hidden="1">
      <c r="A290" s="103">
        <v>45992</v>
      </c>
      <c r="B290" s="45" t="s">
        <v>187</v>
      </c>
      <c r="C290" s="2" t="s">
        <v>278</v>
      </c>
      <c r="D290" s="2" t="s">
        <v>311</v>
      </c>
      <c r="E290" s="4" t="s">
        <v>312</v>
      </c>
      <c r="F290" s="4" t="s">
        <v>173</v>
      </c>
      <c r="G290" s="5">
        <v>45992</v>
      </c>
      <c r="H290" s="31">
        <v>7194335.5999999996</v>
      </c>
      <c r="I290" s="31">
        <v>7194335.5999999996</v>
      </c>
      <c r="J290" s="52">
        <f t="shared" si="31"/>
        <v>7194.3355999999994</v>
      </c>
      <c r="K290" s="12">
        <v>46010</v>
      </c>
      <c r="L290" s="7" t="s">
        <v>175</v>
      </c>
      <c r="M290" s="34" t="s">
        <v>34</v>
      </c>
      <c r="N290" s="7" t="s">
        <v>334</v>
      </c>
      <c r="O290" s="7" t="s">
        <v>284</v>
      </c>
      <c r="P290" s="7" t="s">
        <v>281</v>
      </c>
      <c r="Q290" s="8" t="s">
        <v>179</v>
      </c>
      <c r="R290" s="9">
        <v>0</v>
      </c>
      <c r="S290" s="54">
        <f t="shared" si="27"/>
        <v>0</v>
      </c>
      <c r="T290" s="9">
        <v>0</v>
      </c>
      <c r="U290" s="54">
        <f t="shared" si="28"/>
        <v>0</v>
      </c>
      <c r="V290" s="10">
        <v>0</v>
      </c>
      <c r="W290" s="11" t="s">
        <v>180</v>
      </c>
      <c r="X290" s="9">
        <v>0</v>
      </c>
      <c r="Y290" s="9">
        <f t="shared" si="29"/>
        <v>0</v>
      </c>
      <c r="Z290" s="11">
        <v>0</v>
      </c>
      <c r="AA290" s="11" t="s">
        <v>310</v>
      </c>
      <c r="AB290" s="11" t="s">
        <v>335</v>
      </c>
      <c r="AC290" s="11" t="str">
        <f t="shared" si="32"/>
        <v>EQUATORIAL</v>
      </c>
      <c r="AD290" s="11" t="s">
        <v>6</v>
      </c>
      <c r="AE290" s="10">
        <v>0</v>
      </c>
      <c r="AF290" s="9">
        <v>0</v>
      </c>
      <c r="AG290" s="9">
        <v>0</v>
      </c>
      <c r="AH290" s="9">
        <v>0</v>
      </c>
      <c r="AI290" s="9">
        <v>0</v>
      </c>
      <c r="AJ290" s="81">
        <v>0</v>
      </c>
      <c r="AK290" s="81">
        <v>0</v>
      </c>
      <c r="AL290" s="81">
        <v>0</v>
      </c>
      <c r="AM290" s="81">
        <v>0</v>
      </c>
      <c r="AN290" s="81">
        <v>0</v>
      </c>
      <c r="AO290" s="81">
        <v>0</v>
      </c>
      <c r="AP290" s="97" t="s">
        <v>184</v>
      </c>
      <c r="AQ290" s="100">
        <v>0</v>
      </c>
    </row>
    <row r="291" spans="1:43" hidden="1">
      <c r="A291" s="103">
        <v>45992</v>
      </c>
      <c r="B291" s="47" t="s">
        <v>198</v>
      </c>
      <c r="C291" s="2" t="s">
        <v>337</v>
      </c>
      <c r="D291" s="2" t="s">
        <v>338</v>
      </c>
      <c r="E291" s="4" t="s">
        <v>339</v>
      </c>
      <c r="F291" s="4" t="s">
        <v>173</v>
      </c>
      <c r="G291" s="5">
        <v>45992</v>
      </c>
      <c r="H291" s="31">
        <v>408117.8</v>
      </c>
      <c r="I291" s="31">
        <v>408117.8</v>
      </c>
      <c r="J291" s="52">
        <f t="shared" si="31"/>
        <v>408.11779999999999</v>
      </c>
      <c r="K291" s="12">
        <v>46006</v>
      </c>
      <c r="L291" s="7" t="s">
        <v>175</v>
      </c>
      <c r="M291" s="34" t="s">
        <v>26</v>
      </c>
      <c r="N291" s="7" t="s">
        <v>237</v>
      </c>
      <c r="O291" s="7" t="s">
        <v>284</v>
      </c>
      <c r="P291" s="7" t="s">
        <v>340</v>
      </c>
      <c r="Q291" s="8" t="s">
        <v>179</v>
      </c>
      <c r="R291" s="9">
        <v>1774420</v>
      </c>
      <c r="S291" s="54">
        <f t="shared" si="27"/>
        <v>1774.42</v>
      </c>
      <c r="T291" s="9">
        <v>1419540</v>
      </c>
      <c r="U291" s="54">
        <f t="shared" si="28"/>
        <v>1419.54</v>
      </c>
      <c r="V291" s="10">
        <v>0.80000225425772931</v>
      </c>
      <c r="W291" s="11" t="s">
        <v>180</v>
      </c>
      <c r="X291" s="9">
        <v>0</v>
      </c>
      <c r="Y291" s="9">
        <f t="shared" si="29"/>
        <v>0</v>
      </c>
      <c r="Z291" s="11">
        <v>0</v>
      </c>
      <c r="AA291" s="11" t="s">
        <v>310</v>
      </c>
      <c r="AB291" s="66" t="s">
        <v>239</v>
      </c>
      <c r="AC291" s="11" t="str">
        <f t="shared" si="32"/>
        <v>ENERGISA</v>
      </c>
      <c r="AD291" s="11" t="s">
        <v>6</v>
      </c>
      <c r="AE291" s="10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f>AK291*1000</f>
        <v>1678980</v>
      </c>
      <c r="AK291" s="9">
        <v>1678.98</v>
      </c>
      <c r="AL291" s="9">
        <v>0.94599999999999995</v>
      </c>
      <c r="AM291" s="9">
        <f>AN291*1000</f>
        <v>95440</v>
      </c>
      <c r="AN291" s="9">
        <v>95.44</v>
      </c>
      <c r="AO291" s="9">
        <v>5.3999999999999999E-2</v>
      </c>
      <c r="AP291" s="97" t="s">
        <v>184</v>
      </c>
      <c r="AQ291" s="100">
        <v>0.94899999999999995</v>
      </c>
    </row>
    <row r="292" spans="1:43" hidden="1">
      <c r="A292" s="103">
        <v>45992</v>
      </c>
      <c r="B292" s="47" t="s">
        <v>198</v>
      </c>
      <c r="C292" s="2" t="s">
        <v>337</v>
      </c>
      <c r="D292" s="2" t="s">
        <v>311</v>
      </c>
      <c r="E292" s="4" t="s">
        <v>312</v>
      </c>
      <c r="F292" s="4" t="s">
        <v>173</v>
      </c>
      <c r="G292" s="5">
        <v>45992</v>
      </c>
      <c r="H292" s="31">
        <v>17744.2</v>
      </c>
      <c r="I292" s="31">
        <v>17744.2</v>
      </c>
      <c r="J292" s="52">
        <f t="shared" si="31"/>
        <v>17.744199999999999</v>
      </c>
      <c r="K292" s="12">
        <v>46006</v>
      </c>
      <c r="L292" s="7" t="s">
        <v>175</v>
      </c>
      <c r="M292" s="34" t="s">
        <v>26</v>
      </c>
      <c r="N292" s="7" t="s">
        <v>237</v>
      </c>
      <c r="O292" s="7" t="s">
        <v>284</v>
      </c>
      <c r="P292" s="7" t="s">
        <v>340</v>
      </c>
      <c r="Q292" s="8" t="s">
        <v>179</v>
      </c>
      <c r="R292" s="9">
        <v>0</v>
      </c>
      <c r="S292" s="54">
        <f t="shared" si="27"/>
        <v>0</v>
      </c>
      <c r="T292" s="9">
        <v>0</v>
      </c>
      <c r="U292" s="54">
        <f t="shared" si="28"/>
        <v>0</v>
      </c>
      <c r="V292" s="10">
        <v>0</v>
      </c>
      <c r="W292" s="11" t="s">
        <v>180</v>
      </c>
      <c r="X292" s="9">
        <v>0</v>
      </c>
      <c r="Y292" s="9">
        <f t="shared" si="29"/>
        <v>0</v>
      </c>
      <c r="Z292" s="11">
        <v>0</v>
      </c>
      <c r="AA292" s="11" t="s">
        <v>310</v>
      </c>
      <c r="AB292" s="66" t="s">
        <v>239</v>
      </c>
      <c r="AC292" s="11" t="str">
        <f t="shared" si="32"/>
        <v>ENERGISA</v>
      </c>
      <c r="AD292" s="11" t="s">
        <v>6</v>
      </c>
      <c r="AE292" s="10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0</v>
      </c>
      <c r="AN292" s="9">
        <v>0</v>
      </c>
      <c r="AO292" s="9">
        <v>0</v>
      </c>
      <c r="AP292" s="97" t="s">
        <v>184</v>
      </c>
      <c r="AQ292" s="100">
        <v>0</v>
      </c>
    </row>
    <row r="293" spans="1:43" hidden="1">
      <c r="A293" s="103">
        <v>46054</v>
      </c>
      <c r="B293" s="47" t="s">
        <v>187</v>
      </c>
      <c r="C293" s="2" t="s">
        <v>324</v>
      </c>
      <c r="D293" s="2" t="s">
        <v>326</v>
      </c>
      <c r="E293" s="4" t="s">
        <v>327</v>
      </c>
      <c r="F293" s="4" t="s">
        <v>173</v>
      </c>
      <c r="G293" s="5">
        <v>46054</v>
      </c>
      <c r="H293" s="31">
        <v>126085139.59999999</v>
      </c>
      <c r="I293" s="31">
        <v>126085139.59999999</v>
      </c>
      <c r="J293" s="52">
        <f t="shared" si="31"/>
        <v>126085.13959999999</v>
      </c>
      <c r="K293" s="12">
        <v>46066</v>
      </c>
      <c r="L293" s="7" t="s">
        <v>175</v>
      </c>
      <c r="M293" s="34" t="s">
        <v>105</v>
      </c>
      <c r="N293" s="7" t="s">
        <v>314</v>
      </c>
      <c r="O293" s="7" t="s">
        <v>284</v>
      </c>
      <c r="P293" s="7" t="s">
        <v>325</v>
      </c>
      <c r="Q293" s="8" t="s">
        <v>179</v>
      </c>
      <c r="R293" s="9">
        <v>484942840</v>
      </c>
      <c r="S293" s="54">
        <f t="shared" si="27"/>
        <v>484942.84</v>
      </c>
      <c r="T293" s="9">
        <v>436448560</v>
      </c>
      <c r="U293" s="54">
        <f t="shared" si="28"/>
        <v>436448.56</v>
      </c>
      <c r="V293" s="10">
        <v>0.90000000824839477</v>
      </c>
      <c r="W293" s="11" t="s">
        <v>180</v>
      </c>
      <c r="X293" s="9">
        <v>0</v>
      </c>
      <c r="Y293" s="9">
        <f t="shared" si="29"/>
        <v>0</v>
      </c>
      <c r="Z293" s="11">
        <v>0</v>
      </c>
      <c r="AA293" s="11" t="s">
        <v>310</v>
      </c>
      <c r="AB293" s="65" t="s">
        <v>316</v>
      </c>
      <c r="AC293" s="11" t="str">
        <f t="shared" si="32"/>
        <v>EQUATORIAL</v>
      </c>
      <c r="AD293" s="11" t="s">
        <v>6</v>
      </c>
      <c r="AE293" s="10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f>AK293*1000</f>
        <v>436492260</v>
      </c>
      <c r="AK293" s="81">
        <v>436492.26</v>
      </c>
      <c r="AL293" s="9">
        <v>0.90010000000000001</v>
      </c>
      <c r="AM293" s="9">
        <f>AN293*1000</f>
        <v>48450580</v>
      </c>
      <c r="AN293" s="9">
        <v>48450.58</v>
      </c>
      <c r="AO293" s="9">
        <v>9.9900000000000003E-2</v>
      </c>
      <c r="AP293" s="97" t="s">
        <v>184</v>
      </c>
      <c r="AQ293" s="100">
        <v>0</v>
      </c>
    </row>
    <row r="294" spans="1:43" hidden="1">
      <c r="A294" s="103">
        <v>46054</v>
      </c>
      <c r="B294" s="47" t="s">
        <v>187</v>
      </c>
      <c r="C294" s="2" t="s">
        <v>324</v>
      </c>
      <c r="D294" s="2" t="s">
        <v>311</v>
      </c>
      <c r="E294" s="4" t="s">
        <v>312</v>
      </c>
      <c r="F294" s="4" t="s">
        <v>173</v>
      </c>
      <c r="G294" s="5">
        <v>46054</v>
      </c>
      <c r="H294" s="31">
        <v>4849428.4000000004</v>
      </c>
      <c r="I294" s="31">
        <v>4849428.4000000004</v>
      </c>
      <c r="J294" s="52">
        <f t="shared" si="31"/>
        <v>4849.4284000000007</v>
      </c>
      <c r="K294" s="12">
        <v>46066</v>
      </c>
      <c r="L294" s="7" t="s">
        <v>175</v>
      </c>
      <c r="M294" s="34" t="s">
        <v>105</v>
      </c>
      <c r="N294" s="7" t="s">
        <v>314</v>
      </c>
      <c r="O294" s="7" t="s">
        <v>284</v>
      </c>
      <c r="P294" s="7" t="s">
        <v>325</v>
      </c>
      <c r="Q294" s="8" t="s">
        <v>179</v>
      </c>
      <c r="R294" s="9">
        <v>0</v>
      </c>
      <c r="S294" s="54">
        <f t="shared" si="27"/>
        <v>0</v>
      </c>
      <c r="T294" s="9">
        <v>0</v>
      </c>
      <c r="U294" s="54">
        <f t="shared" si="28"/>
        <v>0</v>
      </c>
      <c r="V294" s="10">
        <v>0</v>
      </c>
      <c r="W294" s="11" t="s">
        <v>180</v>
      </c>
      <c r="X294" s="9">
        <v>0</v>
      </c>
      <c r="Y294" s="9">
        <f t="shared" si="29"/>
        <v>0</v>
      </c>
      <c r="Z294" s="11">
        <v>0</v>
      </c>
      <c r="AA294" s="11" t="s">
        <v>310</v>
      </c>
      <c r="AB294" s="65" t="s">
        <v>316</v>
      </c>
      <c r="AC294" s="11" t="str">
        <f t="shared" si="32"/>
        <v>EQUATORIAL</v>
      </c>
      <c r="AD294" s="11" t="s">
        <v>6</v>
      </c>
      <c r="AE294" s="10">
        <v>0</v>
      </c>
      <c r="AF294" s="9">
        <v>0</v>
      </c>
      <c r="AG294" s="9">
        <v>0</v>
      </c>
      <c r="AH294" s="9">
        <v>0</v>
      </c>
      <c r="AI294" s="9">
        <v>0</v>
      </c>
      <c r="AJ294" s="81">
        <v>0</v>
      </c>
      <c r="AK294" s="81">
        <v>0</v>
      </c>
      <c r="AL294" s="81">
        <v>0</v>
      </c>
      <c r="AM294" s="81">
        <v>0</v>
      </c>
      <c r="AN294" s="81">
        <v>0</v>
      </c>
      <c r="AO294" s="81">
        <v>0</v>
      </c>
      <c r="AP294" s="97" t="s">
        <v>184</v>
      </c>
      <c r="AQ294" s="100">
        <v>0</v>
      </c>
    </row>
    <row r="295" spans="1:43" hidden="1">
      <c r="A295" s="103">
        <v>46054</v>
      </c>
      <c r="B295" s="47" t="s">
        <v>187</v>
      </c>
      <c r="C295" s="2" t="s">
        <v>328</v>
      </c>
      <c r="D295" s="2" t="s">
        <v>341</v>
      </c>
      <c r="E295" s="4" t="s">
        <v>342</v>
      </c>
      <c r="F295" s="4" t="s">
        <v>173</v>
      </c>
      <c r="G295" s="5">
        <v>46023</v>
      </c>
      <c r="H295" s="31">
        <v>12759707.1</v>
      </c>
      <c r="I295" s="31">
        <v>12759707.1</v>
      </c>
      <c r="J295" s="52">
        <f t="shared" si="31"/>
        <v>12759.7071</v>
      </c>
      <c r="K295" s="12">
        <v>46059</v>
      </c>
      <c r="L295" s="7" t="s">
        <v>175</v>
      </c>
      <c r="M295" s="34" t="s">
        <v>30</v>
      </c>
      <c r="N295" s="7" t="s">
        <v>229</v>
      </c>
      <c r="O295" s="7" t="s">
        <v>284</v>
      </c>
      <c r="P295" s="7" t="s">
        <v>329</v>
      </c>
      <c r="Q295" s="8" t="s">
        <v>179</v>
      </c>
      <c r="R295" s="9">
        <v>55476990</v>
      </c>
      <c r="S295" s="54">
        <f t="shared" si="27"/>
        <v>55476.99</v>
      </c>
      <c r="T295" s="9">
        <v>44381590</v>
      </c>
      <c r="U295" s="54">
        <f t="shared" si="28"/>
        <v>44381.59</v>
      </c>
      <c r="V295" s="10">
        <v>0.7999999639490174</v>
      </c>
      <c r="W295" s="11" t="s">
        <v>180</v>
      </c>
      <c r="X295" s="9">
        <v>0</v>
      </c>
      <c r="Y295" s="9">
        <f t="shared" si="29"/>
        <v>0</v>
      </c>
      <c r="Z295" s="11">
        <v>0</v>
      </c>
      <c r="AA295" s="11" t="s">
        <v>310</v>
      </c>
      <c r="AB295" s="66" t="s">
        <v>230</v>
      </c>
      <c r="AC295" s="11" t="str">
        <f t="shared" si="32"/>
        <v>EQUATORIAL</v>
      </c>
      <c r="AD295" s="11" t="s">
        <v>6</v>
      </c>
      <c r="AE295" s="10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f>AK295*1000</f>
        <v>49934290</v>
      </c>
      <c r="AK295" s="81">
        <v>49934.29</v>
      </c>
      <c r="AL295" s="9">
        <v>0.9</v>
      </c>
      <c r="AM295" s="9">
        <f>AN295*1000</f>
        <v>5542700</v>
      </c>
      <c r="AN295" s="81">
        <v>5542.7</v>
      </c>
      <c r="AO295" s="9">
        <v>0.1</v>
      </c>
      <c r="AP295" s="97" t="s">
        <v>184</v>
      </c>
      <c r="AQ295" s="100">
        <v>0</v>
      </c>
    </row>
    <row r="296" spans="1:43" hidden="1">
      <c r="A296" s="103">
        <v>46054</v>
      </c>
      <c r="B296" s="45" t="s">
        <v>187</v>
      </c>
      <c r="C296" s="2" t="s">
        <v>328</v>
      </c>
      <c r="D296" s="2" t="s">
        <v>311</v>
      </c>
      <c r="E296" s="4" t="s">
        <v>312</v>
      </c>
      <c r="F296" s="4" t="s">
        <v>173</v>
      </c>
      <c r="G296" s="5">
        <v>46023</v>
      </c>
      <c r="H296" s="31">
        <v>554769.9</v>
      </c>
      <c r="I296" s="31">
        <v>554769.9</v>
      </c>
      <c r="J296" s="52">
        <f t="shared" si="31"/>
        <v>554.76990000000001</v>
      </c>
      <c r="K296" s="12">
        <v>46059</v>
      </c>
      <c r="L296" s="7" t="s">
        <v>175</v>
      </c>
      <c r="M296" s="34" t="s">
        <v>30</v>
      </c>
      <c r="N296" s="7" t="s">
        <v>229</v>
      </c>
      <c r="O296" s="7" t="s">
        <v>284</v>
      </c>
      <c r="P296" s="7" t="s">
        <v>329</v>
      </c>
      <c r="Q296" s="8" t="s">
        <v>179</v>
      </c>
      <c r="R296" s="9">
        <v>0</v>
      </c>
      <c r="S296" s="54">
        <f t="shared" si="27"/>
        <v>0</v>
      </c>
      <c r="T296" s="9">
        <v>0</v>
      </c>
      <c r="U296" s="54">
        <f t="shared" si="28"/>
        <v>0</v>
      </c>
      <c r="V296" s="10">
        <v>0</v>
      </c>
      <c r="W296" s="11" t="s">
        <v>180</v>
      </c>
      <c r="X296" s="9">
        <v>0</v>
      </c>
      <c r="Y296" s="9">
        <f t="shared" si="29"/>
        <v>0</v>
      </c>
      <c r="Z296" s="11">
        <v>0</v>
      </c>
      <c r="AA296" s="11" t="s">
        <v>310</v>
      </c>
      <c r="AB296" s="66" t="s">
        <v>230</v>
      </c>
      <c r="AC296" s="11" t="str">
        <f t="shared" si="32"/>
        <v>EQUATORIAL</v>
      </c>
      <c r="AD296" s="11" t="s">
        <v>6</v>
      </c>
      <c r="AE296" s="10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v>0</v>
      </c>
      <c r="AN296" s="9">
        <v>0</v>
      </c>
      <c r="AO296" s="9">
        <v>0</v>
      </c>
      <c r="AP296" s="97" t="s">
        <v>184</v>
      </c>
      <c r="AQ296" s="100">
        <v>0</v>
      </c>
    </row>
    <row r="297" spans="1:43" hidden="1">
      <c r="A297" s="103">
        <v>46054</v>
      </c>
      <c r="B297" s="47" t="s">
        <v>187</v>
      </c>
      <c r="C297" s="2" t="s">
        <v>188</v>
      </c>
      <c r="D297" s="2" t="s">
        <v>307</v>
      </c>
      <c r="E297" s="4" t="s">
        <v>308</v>
      </c>
      <c r="F297" s="4" t="s">
        <v>173</v>
      </c>
      <c r="G297" s="5">
        <v>46054</v>
      </c>
      <c r="H297" s="31">
        <v>23739155.600000001</v>
      </c>
      <c r="I297" s="31">
        <v>23739155.600000001</v>
      </c>
      <c r="J297" s="52">
        <f t="shared" si="31"/>
        <v>23739.155600000002</v>
      </c>
      <c r="K297" s="12">
        <v>46080</v>
      </c>
      <c r="L297" s="7" t="s">
        <v>175</v>
      </c>
      <c r="M297" s="34" t="s">
        <v>29</v>
      </c>
      <c r="N297" s="7" t="s">
        <v>176</v>
      </c>
      <c r="O297" s="7" t="s">
        <v>284</v>
      </c>
      <c r="P297" s="7" t="s">
        <v>192</v>
      </c>
      <c r="Q297" s="8" t="s">
        <v>179</v>
      </c>
      <c r="R297" s="9">
        <v>91304440</v>
      </c>
      <c r="S297" s="54">
        <f t="shared" si="27"/>
        <v>91304.44</v>
      </c>
      <c r="T297" s="9">
        <v>82174000</v>
      </c>
      <c r="U297" s="54">
        <f t="shared" si="28"/>
        <v>82174</v>
      </c>
      <c r="V297" s="10">
        <v>0.90000004380947962</v>
      </c>
      <c r="W297" s="11" t="s">
        <v>180</v>
      </c>
      <c r="X297" s="9">
        <v>0</v>
      </c>
      <c r="Y297" s="9">
        <f t="shared" si="29"/>
        <v>0</v>
      </c>
      <c r="Z297" s="11">
        <v>0</v>
      </c>
      <c r="AA297" s="11" t="s">
        <v>310</v>
      </c>
      <c r="AB297" s="66" t="s">
        <v>181</v>
      </c>
      <c r="AC297" s="11" t="str">
        <f t="shared" si="32"/>
        <v>EQUATORIAL</v>
      </c>
      <c r="AD297" s="11" t="s">
        <v>6</v>
      </c>
      <c r="AE297" s="10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f>AK297*1000</f>
        <v>82182220</v>
      </c>
      <c r="AK297" s="81">
        <v>82182.22</v>
      </c>
      <c r="AL297" s="81">
        <v>0.90010000000000001</v>
      </c>
      <c r="AM297" s="9">
        <f>AN297*1000</f>
        <v>9122220</v>
      </c>
      <c r="AN297" s="81">
        <v>9122.2199999999993</v>
      </c>
      <c r="AO297" s="9">
        <v>9.9900000000000003E-2</v>
      </c>
      <c r="AP297" s="97" t="s">
        <v>184</v>
      </c>
      <c r="AQ297" s="100">
        <v>0.39040000000000002</v>
      </c>
    </row>
    <row r="298" spans="1:43" hidden="1">
      <c r="A298" s="103">
        <v>46054</v>
      </c>
      <c r="B298" s="47" t="s">
        <v>187</v>
      </c>
      <c r="C298" s="2" t="s">
        <v>188</v>
      </c>
      <c r="D298" s="2" t="s">
        <v>311</v>
      </c>
      <c r="E298" s="4" t="s">
        <v>312</v>
      </c>
      <c r="F298" s="4" t="s">
        <v>173</v>
      </c>
      <c r="G298" s="5">
        <v>46054</v>
      </c>
      <c r="H298" s="31">
        <v>913044.4</v>
      </c>
      <c r="I298" s="31">
        <v>913044.4</v>
      </c>
      <c r="J298" s="52">
        <f t="shared" si="31"/>
        <v>913.0444</v>
      </c>
      <c r="K298" s="12">
        <v>46080</v>
      </c>
      <c r="L298" s="7" t="s">
        <v>175</v>
      </c>
      <c r="M298" s="34" t="s">
        <v>29</v>
      </c>
      <c r="N298" s="7" t="s">
        <v>176</v>
      </c>
      <c r="O298" s="7" t="s">
        <v>284</v>
      </c>
      <c r="P298" s="7" t="s">
        <v>192</v>
      </c>
      <c r="Q298" s="8" t="s">
        <v>179</v>
      </c>
      <c r="R298" s="9">
        <v>0</v>
      </c>
      <c r="S298" s="54">
        <f t="shared" si="27"/>
        <v>0</v>
      </c>
      <c r="T298" s="9">
        <v>0</v>
      </c>
      <c r="U298" s="54">
        <f t="shared" si="28"/>
        <v>0</v>
      </c>
      <c r="V298" s="10">
        <v>0</v>
      </c>
      <c r="W298" s="11" t="s">
        <v>180</v>
      </c>
      <c r="X298" s="9">
        <v>0</v>
      </c>
      <c r="Y298" s="9">
        <f t="shared" si="29"/>
        <v>0</v>
      </c>
      <c r="Z298" s="11">
        <v>0</v>
      </c>
      <c r="AA298" s="11" t="s">
        <v>310</v>
      </c>
      <c r="AB298" s="66" t="s">
        <v>181</v>
      </c>
      <c r="AC298" s="11" t="str">
        <f t="shared" si="32"/>
        <v>EQUATORIAL</v>
      </c>
      <c r="AD298" s="11" t="s">
        <v>6</v>
      </c>
      <c r="AE298" s="10">
        <v>0</v>
      </c>
      <c r="AF298" s="9">
        <v>0</v>
      </c>
      <c r="AG298" s="9">
        <v>0</v>
      </c>
      <c r="AH298" s="9">
        <v>0</v>
      </c>
      <c r="AI298" s="9">
        <v>0</v>
      </c>
      <c r="AJ298" s="81">
        <v>0</v>
      </c>
      <c r="AK298" s="81">
        <v>0</v>
      </c>
      <c r="AL298" s="81">
        <v>0</v>
      </c>
      <c r="AM298" s="81">
        <v>0</v>
      </c>
      <c r="AN298" s="81">
        <v>0</v>
      </c>
      <c r="AO298" s="81">
        <v>0</v>
      </c>
      <c r="AP298" s="97" t="s">
        <v>184</v>
      </c>
      <c r="AQ298" s="100">
        <v>0</v>
      </c>
    </row>
    <row r="299" spans="1:43" hidden="1">
      <c r="A299" s="103">
        <v>46054</v>
      </c>
      <c r="B299" s="47" t="s">
        <v>198</v>
      </c>
      <c r="C299" s="2" t="s">
        <v>205</v>
      </c>
      <c r="D299" s="2" t="s">
        <v>206</v>
      </c>
      <c r="E299" s="4" t="s">
        <v>207</v>
      </c>
      <c r="F299" s="4" t="s">
        <v>173</v>
      </c>
      <c r="G299" s="5">
        <v>46054</v>
      </c>
      <c r="H299" s="31">
        <v>13101920</v>
      </c>
      <c r="I299" s="31">
        <v>13101920</v>
      </c>
      <c r="J299" s="52">
        <f t="shared" si="31"/>
        <v>13101.92</v>
      </c>
      <c r="K299" s="12">
        <v>46066</v>
      </c>
      <c r="L299" s="7" t="s">
        <v>175</v>
      </c>
      <c r="M299" s="34" t="s">
        <v>32</v>
      </c>
      <c r="N299" s="7" t="s">
        <v>314</v>
      </c>
      <c r="O299" s="7" t="s">
        <v>284</v>
      </c>
      <c r="P299" s="7" t="s">
        <v>209</v>
      </c>
      <c r="Q299" s="8" t="s">
        <v>179</v>
      </c>
      <c r="R299" s="9">
        <v>50392000</v>
      </c>
      <c r="S299" s="54">
        <f t="shared" si="27"/>
        <v>50392</v>
      </c>
      <c r="T299" s="9">
        <v>45352800</v>
      </c>
      <c r="U299" s="54">
        <f t="shared" si="28"/>
        <v>45352.800000000003</v>
      </c>
      <c r="V299" s="10">
        <v>0.9</v>
      </c>
      <c r="W299" s="11" t="s">
        <v>180</v>
      </c>
      <c r="X299" s="9">
        <v>0</v>
      </c>
      <c r="Y299" s="9">
        <f t="shared" si="29"/>
        <v>0</v>
      </c>
      <c r="Z299" s="11">
        <v>0</v>
      </c>
      <c r="AA299" s="11" t="s">
        <v>310</v>
      </c>
      <c r="AB299" s="65" t="s">
        <v>316</v>
      </c>
      <c r="AC299" s="11" t="str">
        <f t="shared" si="32"/>
        <v>ENERGISA</v>
      </c>
      <c r="AD299" s="11" t="s">
        <v>6</v>
      </c>
      <c r="AE299" s="10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f>AK299*1000</f>
        <v>45810910</v>
      </c>
      <c r="AK299" s="9">
        <v>45810.91</v>
      </c>
      <c r="AL299" s="9">
        <v>0.90900000000000003</v>
      </c>
      <c r="AM299" s="9">
        <f>AN299*1000</f>
        <v>4581090</v>
      </c>
      <c r="AN299" s="9">
        <v>4581.09</v>
      </c>
      <c r="AO299" s="9">
        <v>9.0999999999999998E-2</v>
      </c>
      <c r="AP299" s="97" t="s">
        <v>184</v>
      </c>
      <c r="AQ299" s="100">
        <v>0.18129999999999999</v>
      </c>
    </row>
    <row r="300" spans="1:43" hidden="1">
      <c r="A300" s="103">
        <v>46054</v>
      </c>
      <c r="B300" s="45" t="s">
        <v>198</v>
      </c>
      <c r="C300" s="2" t="s">
        <v>205</v>
      </c>
      <c r="D300" s="2" t="s">
        <v>311</v>
      </c>
      <c r="E300" s="4" t="s">
        <v>312</v>
      </c>
      <c r="F300" s="4" t="s">
        <v>173</v>
      </c>
      <c r="G300" s="5">
        <v>46054</v>
      </c>
      <c r="H300" s="31">
        <v>503920</v>
      </c>
      <c r="I300" s="31">
        <v>503920</v>
      </c>
      <c r="J300" s="52">
        <f t="shared" si="31"/>
        <v>503.92</v>
      </c>
      <c r="K300" s="12">
        <v>46066</v>
      </c>
      <c r="L300" s="7" t="s">
        <v>175</v>
      </c>
      <c r="M300" s="34" t="s">
        <v>32</v>
      </c>
      <c r="N300" s="7" t="s">
        <v>314</v>
      </c>
      <c r="O300" s="7" t="s">
        <v>284</v>
      </c>
      <c r="P300" s="7" t="s">
        <v>209</v>
      </c>
      <c r="Q300" s="8" t="s">
        <v>179</v>
      </c>
      <c r="R300" s="9">
        <v>0</v>
      </c>
      <c r="S300" s="54">
        <f t="shared" si="27"/>
        <v>0</v>
      </c>
      <c r="T300" s="9">
        <v>0</v>
      </c>
      <c r="U300" s="54">
        <f t="shared" si="28"/>
        <v>0</v>
      </c>
      <c r="V300" s="10">
        <v>0</v>
      </c>
      <c r="W300" s="11" t="s">
        <v>180</v>
      </c>
      <c r="X300" s="9">
        <v>0</v>
      </c>
      <c r="Y300" s="9">
        <f t="shared" si="29"/>
        <v>0</v>
      </c>
      <c r="Z300" s="11">
        <v>0</v>
      </c>
      <c r="AA300" s="11" t="s">
        <v>310</v>
      </c>
      <c r="AB300" s="65" t="s">
        <v>316</v>
      </c>
      <c r="AC300" s="11" t="str">
        <f t="shared" si="32"/>
        <v>ENERGISA</v>
      </c>
      <c r="AD300" s="11" t="s">
        <v>6</v>
      </c>
      <c r="AE300" s="10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9">
        <v>0</v>
      </c>
      <c r="AN300" s="9">
        <v>0</v>
      </c>
      <c r="AO300" s="9">
        <v>0</v>
      </c>
      <c r="AP300" s="97" t="s">
        <v>184</v>
      </c>
      <c r="AQ300" s="100">
        <v>0</v>
      </c>
    </row>
    <row r="301" spans="1:43" hidden="1">
      <c r="A301" s="103">
        <v>45992</v>
      </c>
      <c r="B301" s="45" t="s">
        <v>187</v>
      </c>
      <c r="C301" s="2" t="s">
        <v>188</v>
      </c>
      <c r="D301" s="16" t="s">
        <v>343</v>
      </c>
      <c r="E301" s="22" t="s">
        <v>308</v>
      </c>
      <c r="F301" s="17" t="s">
        <v>173</v>
      </c>
      <c r="G301" s="18">
        <v>45992</v>
      </c>
      <c r="H301" s="32">
        <v>0</v>
      </c>
      <c r="I301" s="32">
        <v>0</v>
      </c>
      <c r="J301" s="52">
        <v>0</v>
      </c>
      <c r="K301" s="23">
        <v>46006</v>
      </c>
      <c r="L301" s="20" t="s">
        <v>175</v>
      </c>
      <c r="M301" s="35" t="s">
        <v>33</v>
      </c>
      <c r="N301" s="7" t="s">
        <v>202</v>
      </c>
      <c r="O301" s="21">
        <v>0</v>
      </c>
      <c r="P301" s="21" t="s">
        <v>192</v>
      </c>
      <c r="Q301" s="8" t="s">
        <v>179</v>
      </c>
      <c r="R301" s="9">
        <v>9029480</v>
      </c>
      <c r="S301" s="9">
        <f t="shared" si="27"/>
        <v>9029.48</v>
      </c>
      <c r="T301" s="9">
        <v>8126530</v>
      </c>
      <c r="U301" s="9">
        <v>8126.53</v>
      </c>
      <c r="V301" s="10">
        <f>T301/R301</f>
        <v>0.89999977850330248</v>
      </c>
      <c r="W301" s="11" t="s">
        <v>180</v>
      </c>
      <c r="X301" s="9">
        <v>0</v>
      </c>
      <c r="Y301" s="9">
        <f t="shared" si="29"/>
        <v>0</v>
      </c>
      <c r="Z301" s="10">
        <f>X301/T301</f>
        <v>0</v>
      </c>
      <c r="AA301" s="11" t="s">
        <v>310</v>
      </c>
      <c r="AB301" s="66" t="s">
        <v>204</v>
      </c>
      <c r="AC301" s="11" t="str">
        <f t="shared" si="32"/>
        <v>EQUATORIAL</v>
      </c>
      <c r="AD301" s="11" t="s">
        <v>6</v>
      </c>
      <c r="AE301" s="10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f>AK301*1000</f>
        <v>8127550</v>
      </c>
      <c r="AK301" s="81">
        <v>8127.55</v>
      </c>
      <c r="AL301" s="81">
        <v>0.90010000000000001</v>
      </c>
      <c r="AM301" s="81">
        <f>AN301*1000</f>
        <v>901930</v>
      </c>
      <c r="AN301" s="81">
        <v>901.93</v>
      </c>
      <c r="AO301" s="9">
        <v>9.9900000000000003E-2</v>
      </c>
      <c r="AP301" s="97" t="s">
        <v>184</v>
      </c>
      <c r="AQ301" s="100">
        <v>0</v>
      </c>
    </row>
    <row r="302" spans="1:43" hidden="1">
      <c r="A302" s="103">
        <v>46054</v>
      </c>
      <c r="B302" s="47" t="s">
        <v>198</v>
      </c>
      <c r="C302" s="2" t="s">
        <v>199</v>
      </c>
      <c r="D302" s="2" t="s">
        <v>200</v>
      </c>
      <c r="E302" s="4" t="s">
        <v>201</v>
      </c>
      <c r="F302" s="4" t="s">
        <v>173</v>
      </c>
      <c r="G302" s="5">
        <v>46054</v>
      </c>
      <c r="H302" s="31">
        <v>7496684</v>
      </c>
      <c r="I302" s="31">
        <v>7496684</v>
      </c>
      <c r="J302" s="52">
        <f t="shared" ref="J302:J339" si="33">I302/1000</f>
        <v>7496.6840000000002</v>
      </c>
      <c r="K302" s="12">
        <v>46066</v>
      </c>
      <c r="L302" s="7" t="s">
        <v>175</v>
      </c>
      <c r="M302" s="34" t="s">
        <v>106</v>
      </c>
      <c r="N302" s="7" t="s">
        <v>314</v>
      </c>
      <c r="O302" s="7" t="s">
        <v>284</v>
      </c>
      <c r="P302" s="7" t="s">
        <v>203</v>
      </c>
      <c r="Q302" s="8" t="s">
        <v>179</v>
      </c>
      <c r="R302" s="9">
        <v>28833400</v>
      </c>
      <c r="S302" s="54">
        <f t="shared" si="27"/>
        <v>28833.4</v>
      </c>
      <c r="T302" s="9">
        <v>25950060</v>
      </c>
      <c r="U302" s="54">
        <f t="shared" ref="U302:U334" si="34">T302/1000</f>
        <v>25950.06</v>
      </c>
      <c r="V302" s="10">
        <v>0.9</v>
      </c>
      <c r="W302" s="11" t="s">
        <v>180</v>
      </c>
      <c r="X302" s="9">
        <v>0</v>
      </c>
      <c r="Y302" s="9">
        <f t="shared" si="29"/>
        <v>0</v>
      </c>
      <c r="Z302" s="11">
        <v>0</v>
      </c>
      <c r="AA302" s="11" t="s">
        <v>310</v>
      </c>
      <c r="AB302" s="65" t="s">
        <v>316</v>
      </c>
      <c r="AC302" s="11" t="str">
        <f t="shared" si="32"/>
        <v>ENERGISA</v>
      </c>
      <c r="AD302" s="11" t="s">
        <v>6</v>
      </c>
      <c r="AE302" s="10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f>AK302*1000</f>
        <v>25952650</v>
      </c>
      <c r="AK302" s="9">
        <v>25952.65</v>
      </c>
      <c r="AL302" s="9">
        <v>0.90010000000000001</v>
      </c>
      <c r="AM302" s="9">
        <f>AN302*1000</f>
        <v>2880750</v>
      </c>
      <c r="AN302" s="9">
        <v>2880.75</v>
      </c>
      <c r="AO302" s="9">
        <v>9.9900000000000003E-2</v>
      </c>
      <c r="AP302" s="97" t="s">
        <v>184</v>
      </c>
      <c r="AQ302" s="100">
        <v>0.3014</v>
      </c>
    </row>
    <row r="303" spans="1:43" hidden="1">
      <c r="A303" s="103">
        <v>46054</v>
      </c>
      <c r="B303" s="47" t="s">
        <v>198</v>
      </c>
      <c r="C303" s="2" t="s">
        <v>199</v>
      </c>
      <c r="D303" s="2" t="s">
        <v>311</v>
      </c>
      <c r="E303" s="4" t="s">
        <v>312</v>
      </c>
      <c r="F303" s="4" t="s">
        <v>173</v>
      </c>
      <c r="G303" s="5">
        <v>46054</v>
      </c>
      <c r="H303" s="31">
        <v>288334</v>
      </c>
      <c r="I303" s="31">
        <v>288334</v>
      </c>
      <c r="J303" s="52">
        <f t="shared" si="33"/>
        <v>288.334</v>
      </c>
      <c r="K303" s="12">
        <v>46066</v>
      </c>
      <c r="L303" s="7" t="s">
        <v>175</v>
      </c>
      <c r="M303" s="34" t="s">
        <v>106</v>
      </c>
      <c r="N303" s="7" t="s">
        <v>314</v>
      </c>
      <c r="O303" s="7" t="s">
        <v>284</v>
      </c>
      <c r="P303" s="7" t="s">
        <v>203</v>
      </c>
      <c r="Q303" s="8" t="s">
        <v>179</v>
      </c>
      <c r="R303" s="9">
        <v>0</v>
      </c>
      <c r="S303" s="54">
        <f t="shared" si="27"/>
        <v>0</v>
      </c>
      <c r="T303" s="9">
        <v>0</v>
      </c>
      <c r="U303" s="54">
        <f t="shared" si="34"/>
        <v>0</v>
      </c>
      <c r="V303" s="10">
        <v>0</v>
      </c>
      <c r="W303" s="11" t="s">
        <v>180</v>
      </c>
      <c r="X303" s="9">
        <v>0</v>
      </c>
      <c r="Y303" s="9">
        <f t="shared" si="29"/>
        <v>0</v>
      </c>
      <c r="Z303" s="11">
        <v>0</v>
      </c>
      <c r="AA303" s="11" t="s">
        <v>310</v>
      </c>
      <c r="AB303" s="65" t="s">
        <v>316</v>
      </c>
      <c r="AC303" s="11" t="str">
        <f t="shared" si="32"/>
        <v>ENERGISA</v>
      </c>
      <c r="AD303" s="11" t="s">
        <v>6</v>
      </c>
      <c r="AE303" s="10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7" t="s">
        <v>184</v>
      </c>
      <c r="AQ303" s="100">
        <v>0</v>
      </c>
    </row>
    <row r="304" spans="1:43" hidden="1">
      <c r="A304" s="103">
        <v>40205</v>
      </c>
      <c r="B304" s="45" t="s">
        <v>187</v>
      </c>
      <c r="C304" s="2" t="s">
        <v>324</v>
      </c>
      <c r="D304" s="16" t="s">
        <v>326</v>
      </c>
      <c r="E304" s="22" t="s">
        <v>327</v>
      </c>
      <c r="F304" s="17" t="s">
        <v>173</v>
      </c>
      <c r="G304" s="18">
        <v>40205</v>
      </c>
      <c r="H304" s="32">
        <v>227479842</v>
      </c>
      <c r="I304" s="32">
        <v>227479842</v>
      </c>
      <c r="J304" s="52">
        <f t="shared" si="33"/>
        <v>227479.842</v>
      </c>
      <c r="K304" s="23">
        <v>40205</v>
      </c>
      <c r="L304" s="20" t="s">
        <v>175</v>
      </c>
      <c r="M304" s="35" t="s">
        <v>107</v>
      </c>
      <c r="N304" s="7" t="s">
        <v>208</v>
      </c>
      <c r="O304" s="21">
        <v>0</v>
      </c>
      <c r="P304" s="21" t="s">
        <v>325</v>
      </c>
      <c r="Q304" s="8" t="s">
        <v>179</v>
      </c>
      <c r="R304" s="9">
        <v>280839240</v>
      </c>
      <c r="S304" s="54">
        <f t="shared" si="27"/>
        <v>280839.24</v>
      </c>
      <c r="T304" s="9">
        <v>252755320</v>
      </c>
      <c r="U304" s="54">
        <f t="shared" si="34"/>
        <v>252755.32</v>
      </c>
      <c r="V304" s="10">
        <f>T304/R304</f>
        <v>0.90000001424302389</v>
      </c>
      <c r="W304" s="11" t="s">
        <v>180</v>
      </c>
      <c r="X304" s="9">
        <v>-36808422.619999997</v>
      </c>
      <c r="Y304" s="9">
        <f t="shared" si="29"/>
        <v>-36808.422619999998</v>
      </c>
      <c r="Z304" s="10">
        <f>X304/T304</f>
        <v>-0.14562867606505769</v>
      </c>
      <c r="AA304" s="11" t="s">
        <v>36</v>
      </c>
      <c r="AB304" s="66" t="s">
        <v>210</v>
      </c>
      <c r="AC304" s="11" t="str">
        <f t="shared" si="32"/>
        <v>EQUATORIAL</v>
      </c>
      <c r="AD304" s="11" t="s">
        <v>183</v>
      </c>
      <c r="AE304" s="10">
        <f>Z304</f>
        <v>-0.14562867606505769</v>
      </c>
      <c r="AF304" s="9">
        <f>X304</f>
        <v>-36808422.619999997</v>
      </c>
      <c r="AG304" s="9">
        <f>AF304/1000</f>
        <v>-36808.422619999998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7" t="s">
        <v>184</v>
      </c>
      <c r="AQ304" s="100">
        <v>0</v>
      </c>
    </row>
    <row r="305" spans="1:43" hidden="1">
      <c r="A305" s="103">
        <v>42948</v>
      </c>
      <c r="B305" s="47" t="s">
        <v>187</v>
      </c>
      <c r="C305" s="2" t="s">
        <v>324</v>
      </c>
      <c r="D305" s="2" t="s">
        <v>326</v>
      </c>
      <c r="E305" s="3" t="s">
        <v>327</v>
      </c>
      <c r="F305" s="4" t="s">
        <v>173</v>
      </c>
      <c r="G305" s="5">
        <v>42948</v>
      </c>
      <c r="H305" s="31">
        <v>133479387</v>
      </c>
      <c r="I305" s="31">
        <v>133479387</v>
      </c>
      <c r="J305" s="52">
        <f t="shared" si="33"/>
        <v>133479.38699999999</v>
      </c>
      <c r="K305" s="6" t="s">
        <v>174</v>
      </c>
      <c r="L305" s="7" t="s">
        <v>175</v>
      </c>
      <c r="M305" s="34" t="s">
        <v>108</v>
      </c>
      <c r="N305" s="7" t="s">
        <v>220</v>
      </c>
      <c r="O305" s="7" t="s">
        <v>287</v>
      </c>
      <c r="P305" s="7" t="s">
        <v>325</v>
      </c>
      <c r="Q305" s="8" t="s">
        <v>179</v>
      </c>
      <c r="R305" s="9">
        <v>164367250</v>
      </c>
      <c r="S305" s="54">
        <f t="shared" si="27"/>
        <v>164367.25</v>
      </c>
      <c r="T305" s="9">
        <v>147930520</v>
      </c>
      <c r="U305" s="54">
        <f t="shared" si="34"/>
        <v>147930.51999999999</v>
      </c>
      <c r="V305" s="10">
        <v>0.89999996958031481</v>
      </c>
      <c r="W305" s="11" t="s">
        <v>180</v>
      </c>
      <c r="X305" s="9">
        <v>-17035987.170000002</v>
      </c>
      <c r="Y305" s="9">
        <f t="shared" si="29"/>
        <v>-17035.98717</v>
      </c>
      <c r="Z305" s="10">
        <f>X305/T305</f>
        <v>-0.11516208534925722</v>
      </c>
      <c r="AA305" s="11" t="s">
        <v>36</v>
      </c>
      <c r="AB305" s="66" t="s">
        <v>221</v>
      </c>
      <c r="AC305" s="11" t="str">
        <f t="shared" si="32"/>
        <v>EQUATORIAL</v>
      </c>
      <c r="AD305" s="11" t="s">
        <v>183</v>
      </c>
      <c r="AE305" s="10">
        <f>Z305</f>
        <v>-0.11516208534925722</v>
      </c>
      <c r="AF305" s="9">
        <f>X305</f>
        <v>-17035987.170000002</v>
      </c>
      <c r="AG305" s="9">
        <f>AF305/1000</f>
        <v>-17035.98717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7" t="s">
        <v>184</v>
      </c>
      <c r="AQ305" s="100">
        <v>0</v>
      </c>
    </row>
    <row r="306" spans="1:43" hidden="1">
      <c r="A306" s="103">
        <v>42979</v>
      </c>
      <c r="B306" s="47" t="s">
        <v>252</v>
      </c>
      <c r="C306" s="2" t="s">
        <v>252</v>
      </c>
      <c r="D306" s="2" t="s">
        <v>253</v>
      </c>
      <c r="E306" s="4" t="s">
        <v>254</v>
      </c>
      <c r="F306" s="4" t="s">
        <v>173</v>
      </c>
      <c r="G306" s="5">
        <v>42979</v>
      </c>
      <c r="H306" s="31">
        <v>39064194</v>
      </c>
      <c r="I306" s="31">
        <v>39064194</v>
      </c>
      <c r="J306" s="52">
        <f t="shared" si="33"/>
        <v>39064.194000000003</v>
      </c>
      <c r="K306" s="6" t="s">
        <v>174</v>
      </c>
      <c r="L306" s="7" t="s">
        <v>175</v>
      </c>
      <c r="M306" s="34" t="s">
        <v>109</v>
      </c>
      <c r="N306" s="7" t="s">
        <v>237</v>
      </c>
      <c r="O306" s="7" t="s">
        <v>289</v>
      </c>
      <c r="P306" s="7" t="s">
        <v>255</v>
      </c>
      <c r="Q306" s="8" t="s">
        <v>179</v>
      </c>
      <c r="R306" s="9">
        <v>217023300</v>
      </c>
      <c r="S306" s="54">
        <f t="shared" si="27"/>
        <v>217023.3</v>
      </c>
      <c r="T306" s="9">
        <v>195320970</v>
      </c>
      <c r="U306" s="54">
        <f t="shared" si="34"/>
        <v>195320.97</v>
      </c>
      <c r="V306" s="10">
        <v>0.9</v>
      </c>
      <c r="W306" s="11" t="s">
        <v>180</v>
      </c>
      <c r="X306" s="9">
        <v>-23405550.629999999</v>
      </c>
      <c r="Y306" s="9">
        <f t="shared" si="29"/>
        <v>-23405.550629999998</v>
      </c>
      <c r="Z306" s="10">
        <f>X306/T306</f>
        <v>-0.11983122257686923</v>
      </c>
      <c r="AA306" s="11" t="s">
        <v>36</v>
      </c>
      <c r="AB306" s="66" t="s">
        <v>239</v>
      </c>
      <c r="AC306" s="11" t="str">
        <f t="shared" si="32"/>
        <v>AMAZONAS ENERGIA</v>
      </c>
      <c r="AD306" s="11" t="s">
        <v>183</v>
      </c>
      <c r="AE306" s="10">
        <f>Z306</f>
        <v>-0.11983122257686923</v>
      </c>
      <c r="AF306" s="9">
        <f>X306</f>
        <v>-23405550.629999999</v>
      </c>
      <c r="AG306" s="9">
        <f>AF306/1000</f>
        <v>-23405.550629999998</v>
      </c>
      <c r="AH306" s="9">
        <v>0</v>
      </c>
      <c r="AI306" s="9">
        <v>0</v>
      </c>
      <c r="AJ306" s="9">
        <v>0</v>
      </c>
      <c r="AK306" s="9">
        <v>0</v>
      </c>
      <c r="AL306" s="9">
        <v>0</v>
      </c>
      <c r="AM306" s="9">
        <v>0</v>
      </c>
      <c r="AN306" s="9">
        <v>0</v>
      </c>
      <c r="AO306" s="9">
        <v>0</v>
      </c>
      <c r="AP306" s="97" t="s">
        <v>184</v>
      </c>
      <c r="AQ306" s="100">
        <v>0</v>
      </c>
    </row>
    <row r="307" spans="1:43" hidden="1">
      <c r="A307" s="103">
        <v>45139</v>
      </c>
      <c r="B307" s="47" t="s">
        <v>187</v>
      </c>
      <c r="C307" s="2" t="s">
        <v>211</v>
      </c>
      <c r="D307" s="2" t="s">
        <v>212</v>
      </c>
      <c r="E307" s="4" t="s">
        <v>213</v>
      </c>
      <c r="F307" s="4" t="s">
        <v>173</v>
      </c>
      <c r="G307" s="5">
        <v>45139</v>
      </c>
      <c r="H307" s="31">
        <v>5367619.34</v>
      </c>
      <c r="I307" s="31">
        <v>5367619.34</v>
      </c>
      <c r="J307" s="52">
        <f t="shared" si="33"/>
        <v>5367.6193400000002</v>
      </c>
      <c r="K307" s="12">
        <v>45148</v>
      </c>
      <c r="L307" s="7" t="s">
        <v>175</v>
      </c>
      <c r="M307" s="34" t="s">
        <v>110</v>
      </c>
      <c r="N307" s="7" t="s">
        <v>220</v>
      </c>
      <c r="O307" s="7" t="s">
        <v>177</v>
      </c>
      <c r="P307" s="7" t="s">
        <v>214</v>
      </c>
      <c r="Q307" s="8" t="s">
        <v>179</v>
      </c>
      <c r="R307" s="9">
        <v>394876300</v>
      </c>
      <c r="S307" s="54">
        <f t="shared" si="27"/>
        <v>394876.3</v>
      </c>
      <c r="T307" s="9">
        <v>296157230</v>
      </c>
      <c r="U307" s="54">
        <f t="shared" si="34"/>
        <v>296157.23</v>
      </c>
      <c r="V307" s="10">
        <v>0.75000001266219318</v>
      </c>
      <c r="W307" s="11" t="s">
        <v>180</v>
      </c>
      <c r="X307" s="9">
        <v>-1309703.73</v>
      </c>
      <c r="Y307" s="9">
        <f t="shared" si="29"/>
        <v>-1309.70373</v>
      </c>
      <c r="Z307" s="10">
        <f>X307/T307</f>
        <v>-4.4223257017902279E-3</v>
      </c>
      <c r="AA307" s="11" t="s">
        <v>36</v>
      </c>
      <c r="AB307" s="66" t="s">
        <v>221</v>
      </c>
      <c r="AC307" s="11" t="str">
        <f t="shared" si="32"/>
        <v>EQUATORIAL</v>
      </c>
      <c r="AD307" s="11" t="s">
        <v>183</v>
      </c>
      <c r="AE307" s="10">
        <f>Z307</f>
        <v>-4.4223257017902279E-3</v>
      </c>
      <c r="AF307" s="9">
        <f>X307</f>
        <v>-1309703.73</v>
      </c>
      <c r="AG307" s="9">
        <f>AF307/1000</f>
        <v>-1309.70373</v>
      </c>
      <c r="AH307" s="7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0</v>
      </c>
      <c r="AN307" s="9">
        <v>0</v>
      </c>
      <c r="AO307" s="9">
        <v>0</v>
      </c>
      <c r="AP307" s="97" t="s">
        <v>184</v>
      </c>
      <c r="AQ307" s="100">
        <v>0</v>
      </c>
    </row>
    <row r="308" spans="1:43" hidden="1">
      <c r="A308" s="103">
        <v>43101</v>
      </c>
      <c r="B308" s="47" t="s">
        <v>187</v>
      </c>
      <c r="C308" s="13" t="s">
        <v>240</v>
      </c>
      <c r="D308" s="2" t="s">
        <v>344</v>
      </c>
      <c r="E308" s="4" t="s">
        <v>242</v>
      </c>
      <c r="F308" s="4" t="s">
        <v>173</v>
      </c>
      <c r="G308" s="5">
        <v>43101</v>
      </c>
      <c r="H308" s="31">
        <v>9991647.4800000004</v>
      </c>
      <c r="I308" s="31">
        <v>9991647.4800000004</v>
      </c>
      <c r="J308" s="52">
        <f t="shared" si="33"/>
        <v>9991.6474799999996</v>
      </c>
      <c r="K308" s="6" t="s">
        <v>174</v>
      </c>
      <c r="L308" s="7" t="s">
        <v>175</v>
      </c>
      <c r="M308" s="34" t="s">
        <v>111</v>
      </c>
      <c r="N308" s="7" t="s">
        <v>314</v>
      </c>
      <c r="O308" s="7" t="s">
        <v>288</v>
      </c>
      <c r="P308" s="7" t="s">
        <v>244</v>
      </c>
      <c r="Q308" s="8" t="s">
        <v>179</v>
      </c>
      <c r="R308" s="9">
        <v>65667670</v>
      </c>
      <c r="S308" s="54">
        <f t="shared" si="27"/>
        <v>65667.67</v>
      </c>
      <c r="T308" s="9">
        <v>54077330</v>
      </c>
      <c r="U308" s="54">
        <f t="shared" si="34"/>
        <v>54077.33</v>
      </c>
      <c r="V308" s="10">
        <v>0.82350005718186747</v>
      </c>
      <c r="W308" s="11" t="s">
        <v>180</v>
      </c>
      <c r="X308" s="9">
        <v>-21229886.329999998</v>
      </c>
      <c r="Y308" s="9">
        <f t="shared" si="29"/>
        <v>-21229.886329999998</v>
      </c>
      <c r="Z308" s="10">
        <f>X308/T308</f>
        <v>-0.39258384853690076</v>
      </c>
      <c r="AA308" s="11" t="s">
        <v>36</v>
      </c>
      <c r="AB308" s="65" t="s">
        <v>316</v>
      </c>
      <c r="AC308" s="11" t="str">
        <f t="shared" si="32"/>
        <v>EQUATORIAL</v>
      </c>
      <c r="AD308" s="11" t="s">
        <v>183</v>
      </c>
      <c r="AE308" s="10">
        <f>Z308</f>
        <v>-0.39258384853690076</v>
      </c>
      <c r="AF308" s="9">
        <f>X308</f>
        <v>-21229886.329999998</v>
      </c>
      <c r="AG308" s="9">
        <f>AF308/1000</f>
        <v>-21229.886329999998</v>
      </c>
      <c r="AH308" s="9">
        <v>0</v>
      </c>
      <c r="AI308" s="9">
        <v>0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7" t="s">
        <v>184</v>
      </c>
      <c r="AQ308" s="100">
        <v>0</v>
      </c>
    </row>
    <row r="309" spans="1:43" hidden="1">
      <c r="A309" s="103">
        <v>43132</v>
      </c>
      <c r="B309" s="47" t="s">
        <v>187</v>
      </c>
      <c r="C309" s="13" t="s">
        <v>240</v>
      </c>
      <c r="D309" s="2" t="s">
        <v>344</v>
      </c>
      <c r="E309" s="4" t="s">
        <v>242</v>
      </c>
      <c r="F309" s="4" t="s">
        <v>173</v>
      </c>
      <c r="G309" s="5">
        <v>43101</v>
      </c>
      <c r="H309" s="31">
        <v>556153.52190000005</v>
      </c>
      <c r="I309" s="31">
        <v>556153.52190000005</v>
      </c>
      <c r="J309" s="52">
        <f t="shared" si="33"/>
        <v>556.1535219000001</v>
      </c>
      <c r="K309" s="6" t="s">
        <v>174</v>
      </c>
      <c r="L309" s="7" t="s">
        <v>175</v>
      </c>
      <c r="M309" s="34" t="s">
        <v>111</v>
      </c>
      <c r="N309" s="7" t="s">
        <v>314</v>
      </c>
      <c r="O309" s="7" t="s">
        <v>288</v>
      </c>
      <c r="P309" s="7" t="s">
        <v>244</v>
      </c>
      <c r="Q309" s="8" t="s">
        <v>179</v>
      </c>
      <c r="R309" s="9">
        <v>0</v>
      </c>
      <c r="S309" s="54">
        <f t="shared" si="27"/>
        <v>0</v>
      </c>
      <c r="T309" s="9">
        <v>0</v>
      </c>
      <c r="U309" s="54">
        <f t="shared" si="34"/>
        <v>0</v>
      </c>
      <c r="V309" s="11">
        <v>0</v>
      </c>
      <c r="W309" s="11" t="s">
        <v>180</v>
      </c>
      <c r="X309" s="9">
        <v>0</v>
      </c>
      <c r="Y309" s="9">
        <f t="shared" si="29"/>
        <v>0</v>
      </c>
      <c r="Z309" s="11">
        <v>0</v>
      </c>
      <c r="AA309" s="11" t="s">
        <v>36</v>
      </c>
      <c r="AB309" s="65" t="s">
        <v>316</v>
      </c>
      <c r="AC309" s="11" t="str">
        <f t="shared" si="32"/>
        <v>EQUATORIAL</v>
      </c>
      <c r="AD309" s="11" t="s">
        <v>183</v>
      </c>
      <c r="AE309" s="10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0</v>
      </c>
      <c r="AL309" s="9">
        <v>0</v>
      </c>
      <c r="AM309" s="9">
        <v>0</v>
      </c>
      <c r="AN309" s="9">
        <v>0</v>
      </c>
      <c r="AO309" s="9">
        <v>0</v>
      </c>
      <c r="AP309" s="97" t="s">
        <v>184</v>
      </c>
      <c r="AQ309" s="100">
        <v>0</v>
      </c>
    </row>
    <row r="310" spans="1:43" hidden="1">
      <c r="A310" s="103">
        <v>43132</v>
      </c>
      <c r="B310" s="47" t="s">
        <v>187</v>
      </c>
      <c r="C310" s="13" t="s">
        <v>240</v>
      </c>
      <c r="D310" s="2" t="s">
        <v>344</v>
      </c>
      <c r="E310" s="4" t="s">
        <v>242</v>
      </c>
      <c r="F310" s="4" t="s">
        <v>173</v>
      </c>
      <c r="G310" s="5">
        <v>43132</v>
      </c>
      <c r="H310" s="31">
        <v>10815466</v>
      </c>
      <c r="I310" s="31">
        <v>10815466</v>
      </c>
      <c r="J310" s="52">
        <f t="shared" si="33"/>
        <v>10815.466</v>
      </c>
      <c r="K310" s="6" t="s">
        <v>174</v>
      </c>
      <c r="L310" s="7" t="s">
        <v>175</v>
      </c>
      <c r="M310" s="34" t="s">
        <v>111</v>
      </c>
      <c r="N310" s="7" t="s">
        <v>314</v>
      </c>
      <c r="O310" s="7" t="s">
        <v>289</v>
      </c>
      <c r="P310" s="7" t="s">
        <v>244</v>
      </c>
      <c r="Q310" s="8" t="s">
        <v>179</v>
      </c>
      <c r="R310" s="9">
        <v>0</v>
      </c>
      <c r="S310" s="54">
        <f t="shared" si="27"/>
        <v>0</v>
      </c>
      <c r="T310" s="9">
        <v>0</v>
      </c>
      <c r="U310" s="54">
        <f t="shared" si="34"/>
        <v>0</v>
      </c>
      <c r="V310" s="11">
        <v>0</v>
      </c>
      <c r="W310" s="11" t="s">
        <v>180</v>
      </c>
      <c r="X310" s="9">
        <v>0</v>
      </c>
      <c r="Y310" s="9">
        <f t="shared" si="29"/>
        <v>0</v>
      </c>
      <c r="Z310" s="11">
        <v>0</v>
      </c>
      <c r="AA310" s="11" t="s">
        <v>36</v>
      </c>
      <c r="AB310" s="65" t="s">
        <v>316</v>
      </c>
      <c r="AC310" s="11" t="str">
        <f t="shared" si="32"/>
        <v>EQUATORIAL</v>
      </c>
      <c r="AD310" s="11" t="s">
        <v>183</v>
      </c>
      <c r="AE310" s="10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7" t="s">
        <v>184</v>
      </c>
      <c r="AQ310" s="100">
        <v>0</v>
      </c>
    </row>
    <row r="311" spans="1:43" hidden="1">
      <c r="A311" s="103">
        <v>41914</v>
      </c>
      <c r="B311" s="45" t="s">
        <v>187</v>
      </c>
      <c r="C311" s="13" t="s">
        <v>240</v>
      </c>
      <c r="D311" s="16" t="s">
        <v>241</v>
      </c>
      <c r="E311" s="17" t="s">
        <v>242</v>
      </c>
      <c r="F311" s="4" t="s">
        <v>173</v>
      </c>
      <c r="G311" s="18">
        <v>41914</v>
      </c>
      <c r="H311" s="33">
        <v>48669597</v>
      </c>
      <c r="I311" s="33">
        <v>48669597</v>
      </c>
      <c r="J311" s="52">
        <f t="shared" si="33"/>
        <v>48669.597000000002</v>
      </c>
      <c r="K311" s="23">
        <v>41914</v>
      </c>
      <c r="L311" s="20" t="s">
        <v>175</v>
      </c>
      <c r="M311" s="36" t="s">
        <v>111</v>
      </c>
      <c r="N311" s="7" t="s">
        <v>314</v>
      </c>
      <c r="O311" s="21">
        <v>0</v>
      </c>
      <c r="P311" s="21" t="s">
        <v>244</v>
      </c>
      <c r="Q311" s="8" t="s">
        <v>179</v>
      </c>
      <c r="R311" s="9">
        <v>0</v>
      </c>
      <c r="S311" s="54">
        <f t="shared" si="27"/>
        <v>0</v>
      </c>
      <c r="T311" s="9">
        <v>0</v>
      </c>
      <c r="U311" s="54">
        <f t="shared" si="34"/>
        <v>0</v>
      </c>
      <c r="V311" s="11">
        <v>0</v>
      </c>
      <c r="W311" s="11" t="s">
        <v>180</v>
      </c>
      <c r="X311" s="9">
        <v>0</v>
      </c>
      <c r="Y311" s="9">
        <f t="shared" si="29"/>
        <v>0</v>
      </c>
      <c r="Z311" s="11">
        <v>0</v>
      </c>
      <c r="AA311" s="11" t="s">
        <v>36</v>
      </c>
      <c r="AB311" s="65" t="s">
        <v>316</v>
      </c>
      <c r="AC311" s="11" t="str">
        <f t="shared" si="32"/>
        <v>EQUATORIAL</v>
      </c>
      <c r="AD311" s="11" t="s">
        <v>183</v>
      </c>
      <c r="AE311" s="10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7" t="s">
        <v>184</v>
      </c>
      <c r="AQ311" s="100">
        <v>0</v>
      </c>
    </row>
    <row r="312" spans="1:43" hidden="1">
      <c r="A312" s="103">
        <v>43374</v>
      </c>
      <c r="B312" s="47" t="s">
        <v>198</v>
      </c>
      <c r="C312" s="2" t="s">
        <v>205</v>
      </c>
      <c r="D312" s="2" t="s">
        <v>206</v>
      </c>
      <c r="E312" s="3" t="s">
        <v>207</v>
      </c>
      <c r="F312" s="4" t="s">
        <v>173</v>
      </c>
      <c r="G312" s="5">
        <v>43009</v>
      </c>
      <c r="H312" s="31">
        <v>11852604</v>
      </c>
      <c r="I312" s="31">
        <v>11852604</v>
      </c>
      <c r="J312" s="52">
        <f t="shared" si="33"/>
        <v>11852.603999999999</v>
      </c>
      <c r="K312" s="6" t="s">
        <v>174</v>
      </c>
      <c r="L312" s="7" t="s">
        <v>175</v>
      </c>
      <c r="M312" s="34" t="s">
        <v>112</v>
      </c>
      <c r="N312" s="7" t="s">
        <v>220</v>
      </c>
      <c r="O312" s="7" t="s">
        <v>296</v>
      </c>
      <c r="P312" s="7" t="s">
        <v>209</v>
      </c>
      <c r="Q312" s="8" t="s">
        <v>179</v>
      </c>
      <c r="R312" s="9">
        <v>71118460</v>
      </c>
      <c r="S312" s="54">
        <f t="shared" si="27"/>
        <v>71118.460000000006</v>
      </c>
      <c r="T312" s="9">
        <v>59263020</v>
      </c>
      <c r="U312" s="54">
        <f t="shared" si="34"/>
        <v>59263.02</v>
      </c>
      <c r="V312" s="10">
        <v>0.83330010239254337</v>
      </c>
      <c r="W312" s="11" t="s">
        <v>180</v>
      </c>
      <c r="X312" s="9">
        <v>-6440352.4100000001</v>
      </c>
      <c r="Y312" s="9">
        <f t="shared" si="29"/>
        <v>-6440.3524100000004</v>
      </c>
      <c r="Z312" s="10">
        <f>X312/T312</f>
        <v>-0.10867405019183971</v>
      </c>
      <c r="AA312" s="11" t="s">
        <v>36</v>
      </c>
      <c r="AB312" s="66" t="s">
        <v>221</v>
      </c>
      <c r="AC312" s="11" t="str">
        <f t="shared" si="32"/>
        <v>ENERGISA</v>
      </c>
      <c r="AD312" s="11" t="s">
        <v>183</v>
      </c>
      <c r="AE312" s="10">
        <f>Z312</f>
        <v>-0.10867405019183971</v>
      </c>
      <c r="AF312" s="9">
        <f>X312</f>
        <v>-6440352.4100000001</v>
      </c>
      <c r="AG312" s="9">
        <f>AF312/1000</f>
        <v>-6440.3524100000004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7" t="s">
        <v>184</v>
      </c>
      <c r="AQ312" s="100">
        <v>0</v>
      </c>
    </row>
    <row r="313" spans="1:43" hidden="1">
      <c r="A313" s="103">
        <v>43405</v>
      </c>
      <c r="B313" s="47" t="s">
        <v>198</v>
      </c>
      <c r="C313" s="2" t="s">
        <v>205</v>
      </c>
      <c r="D313" s="2" t="s">
        <v>206</v>
      </c>
      <c r="E313" s="3" t="s">
        <v>207</v>
      </c>
      <c r="F313" s="4" t="s">
        <v>173</v>
      </c>
      <c r="G313" s="5">
        <v>43040</v>
      </c>
      <c r="H313" s="31">
        <v>11852604</v>
      </c>
      <c r="I313" s="31">
        <v>11852604</v>
      </c>
      <c r="J313" s="52">
        <f t="shared" si="33"/>
        <v>11852.603999999999</v>
      </c>
      <c r="K313" s="6" t="s">
        <v>174</v>
      </c>
      <c r="L313" s="7" t="s">
        <v>175</v>
      </c>
      <c r="M313" s="34" t="s">
        <v>112</v>
      </c>
      <c r="N313" s="7" t="s">
        <v>220</v>
      </c>
      <c r="O313" s="7" t="s">
        <v>289</v>
      </c>
      <c r="P313" s="7" t="s">
        <v>209</v>
      </c>
      <c r="Q313" s="8" t="s">
        <v>179</v>
      </c>
      <c r="R313" s="9">
        <v>0</v>
      </c>
      <c r="S313" s="54">
        <f t="shared" si="27"/>
        <v>0</v>
      </c>
      <c r="T313" s="9">
        <v>0</v>
      </c>
      <c r="U313" s="54">
        <f t="shared" si="34"/>
        <v>0</v>
      </c>
      <c r="V313" s="11">
        <v>0</v>
      </c>
      <c r="W313" s="11" t="s">
        <v>180</v>
      </c>
      <c r="X313" s="9">
        <v>0</v>
      </c>
      <c r="Y313" s="9">
        <f t="shared" si="29"/>
        <v>0</v>
      </c>
      <c r="Z313" s="11">
        <v>0</v>
      </c>
      <c r="AA313" s="11" t="s">
        <v>36</v>
      </c>
      <c r="AB313" s="66" t="s">
        <v>221</v>
      </c>
      <c r="AC313" s="11" t="str">
        <f t="shared" si="32"/>
        <v>ENERGISA</v>
      </c>
      <c r="AD313" s="11" t="s">
        <v>183</v>
      </c>
      <c r="AE313" s="10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0</v>
      </c>
      <c r="AN313" s="9">
        <v>0</v>
      </c>
      <c r="AO313" s="9">
        <v>0</v>
      </c>
      <c r="AP313" s="97" t="s">
        <v>184</v>
      </c>
      <c r="AQ313" s="100">
        <v>0</v>
      </c>
    </row>
    <row r="314" spans="1:43" hidden="1">
      <c r="A314" s="103">
        <v>43466</v>
      </c>
      <c r="B314" s="47" t="s">
        <v>187</v>
      </c>
      <c r="C314" s="2" t="s">
        <v>328</v>
      </c>
      <c r="D314" s="2" t="s">
        <v>341</v>
      </c>
      <c r="E314" s="3" t="s">
        <v>342</v>
      </c>
      <c r="F314" s="4" t="s">
        <v>173</v>
      </c>
      <c r="G314" s="5">
        <v>43466</v>
      </c>
      <c r="H314" s="31">
        <v>15686775</v>
      </c>
      <c r="I314" s="31">
        <v>15686775</v>
      </c>
      <c r="J314" s="52">
        <f t="shared" si="33"/>
        <v>15686.775</v>
      </c>
      <c r="K314" s="6" t="s">
        <v>174</v>
      </c>
      <c r="L314" s="7" t="s">
        <v>175</v>
      </c>
      <c r="M314" s="34" t="s">
        <v>113</v>
      </c>
      <c r="N314" s="7" t="s">
        <v>208</v>
      </c>
      <c r="O314" s="7" t="s">
        <v>287</v>
      </c>
      <c r="P314" s="7" t="s">
        <v>329</v>
      </c>
      <c r="Q314" s="8" t="s">
        <v>179</v>
      </c>
      <c r="R314" s="9">
        <v>27960190</v>
      </c>
      <c r="S314" s="54">
        <f t="shared" si="27"/>
        <v>27960.19</v>
      </c>
      <c r="T314" s="9">
        <v>16776120</v>
      </c>
      <c r="U314" s="54">
        <f t="shared" si="34"/>
        <v>16776.12</v>
      </c>
      <c r="V314" s="10">
        <v>0.60000021459081643</v>
      </c>
      <c r="W314" s="11" t="s">
        <v>180</v>
      </c>
      <c r="X314" s="9">
        <v>-1240746.0900000001</v>
      </c>
      <c r="Y314" s="9">
        <f t="shared" si="29"/>
        <v>-1240.7460900000001</v>
      </c>
      <c r="Z314" s="10">
        <f>X314/T314</f>
        <v>-7.3959061451634833E-2</v>
      </c>
      <c r="AA314" s="11" t="s">
        <v>36</v>
      </c>
      <c r="AB314" s="66" t="s">
        <v>210</v>
      </c>
      <c r="AC314" s="11" t="str">
        <f t="shared" si="32"/>
        <v>EQUATORIAL</v>
      </c>
      <c r="AD314" s="11" t="s">
        <v>183</v>
      </c>
      <c r="AE314" s="10">
        <f>Z314</f>
        <v>-7.3959061451634833E-2</v>
      </c>
      <c r="AF314" s="9">
        <f>X314</f>
        <v>-1240746.0900000001</v>
      </c>
      <c r="AG314" s="9">
        <f>AF314/1000</f>
        <v>-1240.7460900000001</v>
      </c>
      <c r="AH314" s="9">
        <v>0</v>
      </c>
      <c r="AI314" s="9">
        <v>0</v>
      </c>
      <c r="AJ314" s="9">
        <v>0</v>
      </c>
      <c r="AK314" s="9">
        <v>0</v>
      </c>
      <c r="AL314" s="9">
        <v>0</v>
      </c>
      <c r="AM314" s="9">
        <v>0</v>
      </c>
      <c r="AN314" s="9">
        <v>0</v>
      </c>
      <c r="AO314" s="9">
        <v>0</v>
      </c>
      <c r="AP314" s="97" t="s">
        <v>184</v>
      </c>
      <c r="AQ314" s="100">
        <v>0</v>
      </c>
    </row>
    <row r="315" spans="1:43" hidden="1">
      <c r="A315" s="103">
        <v>43101</v>
      </c>
      <c r="B315" s="47" t="s">
        <v>187</v>
      </c>
      <c r="C315" s="2" t="s">
        <v>278</v>
      </c>
      <c r="D315" s="2" t="s">
        <v>279</v>
      </c>
      <c r="E315" s="4" t="s">
        <v>280</v>
      </c>
      <c r="F315" s="4" t="s">
        <v>173</v>
      </c>
      <c r="G315" s="5">
        <v>43070</v>
      </c>
      <c r="H315" s="31">
        <v>5301994.9177999999</v>
      </c>
      <c r="I315" s="31">
        <v>5301994.9177999999</v>
      </c>
      <c r="J315" s="52">
        <f t="shared" si="33"/>
        <v>5301.9949177999997</v>
      </c>
      <c r="K315" s="6" t="s">
        <v>174</v>
      </c>
      <c r="L315" s="7" t="s">
        <v>175</v>
      </c>
      <c r="M315" s="34" t="s">
        <v>114</v>
      </c>
      <c r="N315" s="7" t="s">
        <v>243</v>
      </c>
      <c r="O315" s="84" t="s">
        <v>296</v>
      </c>
      <c r="P315" s="7" t="s">
        <v>281</v>
      </c>
      <c r="Q315" s="8" t="s">
        <v>179</v>
      </c>
      <c r="R315" s="9">
        <v>140423750</v>
      </c>
      <c r="S315" s="54">
        <f t="shared" si="27"/>
        <v>140423.75</v>
      </c>
      <c r="T315" s="9">
        <v>105317810</v>
      </c>
      <c r="U315" s="54">
        <f t="shared" si="34"/>
        <v>105317.81</v>
      </c>
      <c r="V315" s="10">
        <v>0.7499999821967438</v>
      </c>
      <c r="W315" s="11" t="s">
        <v>180</v>
      </c>
      <c r="X315" s="9">
        <v>-4329452.28</v>
      </c>
      <c r="Y315" s="9">
        <f t="shared" si="29"/>
        <v>-4329.4522800000004</v>
      </c>
      <c r="Z315" s="10">
        <f>X315/T315</f>
        <v>-4.1108453356559542E-2</v>
      </c>
      <c r="AA315" s="11" t="s">
        <v>36</v>
      </c>
      <c r="AB315" s="66" t="s">
        <v>245</v>
      </c>
      <c r="AC315" s="11" t="str">
        <f t="shared" ref="AC315:AC339" si="35">B315</f>
        <v>EQUATORIAL</v>
      </c>
      <c r="AD315" s="11" t="s">
        <v>183</v>
      </c>
      <c r="AE315" s="10">
        <f>Z315</f>
        <v>-4.1108453356559542E-2</v>
      </c>
      <c r="AF315" s="9">
        <f>X315</f>
        <v>-4329452.28</v>
      </c>
      <c r="AG315" s="9">
        <f>AF315/1000</f>
        <v>-4329.4522800000004</v>
      </c>
      <c r="AH315" s="9">
        <v>0</v>
      </c>
      <c r="AI315" s="9">
        <v>0</v>
      </c>
      <c r="AJ315" s="9">
        <v>0</v>
      </c>
      <c r="AK315" s="9">
        <v>0</v>
      </c>
      <c r="AL315" s="9">
        <v>0</v>
      </c>
      <c r="AM315" s="9">
        <v>0</v>
      </c>
      <c r="AN315" s="9">
        <v>0</v>
      </c>
      <c r="AO315" s="9">
        <v>0</v>
      </c>
      <c r="AP315" s="97" t="s">
        <v>184</v>
      </c>
      <c r="AQ315" s="100">
        <v>0</v>
      </c>
    </row>
    <row r="316" spans="1:43" hidden="1">
      <c r="A316" s="103">
        <v>43101</v>
      </c>
      <c r="B316" s="47" t="s">
        <v>187</v>
      </c>
      <c r="C316" s="2" t="s">
        <v>278</v>
      </c>
      <c r="D316" s="2" t="s">
        <v>279</v>
      </c>
      <c r="E316" s="4" t="s">
        <v>280</v>
      </c>
      <c r="F316" s="4" t="s">
        <v>173</v>
      </c>
      <c r="G316" s="5">
        <v>43070</v>
      </c>
      <c r="H316" s="31">
        <v>5301994.9177999999</v>
      </c>
      <c r="I316" s="31">
        <v>5301994.9177999999</v>
      </c>
      <c r="J316" s="52">
        <f t="shared" si="33"/>
        <v>5301.9949177999997</v>
      </c>
      <c r="K316" s="6" t="s">
        <v>174</v>
      </c>
      <c r="L316" s="7" t="s">
        <v>175</v>
      </c>
      <c r="M316" s="34" t="s">
        <v>114</v>
      </c>
      <c r="N316" s="7" t="s">
        <v>243</v>
      </c>
      <c r="O316" s="84" t="s">
        <v>289</v>
      </c>
      <c r="P316" s="7" t="s">
        <v>281</v>
      </c>
      <c r="Q316" s="8" t="s">
        <v>179</v>
      </c>
      <c r="R316" s="9">
        <v>0</v>
      </c>
      <c r="S316" s="54">
        <f t="shared" si="27"/>
        <v>0</v>
      </c>
      <c r="T316" s="9">
        <v>0</v>
      </c>
      <c r="U316" s="54">
        <f t="shared" si="34"/>
        <v>0</v>
      </c>
      <c r="V316" s="10">
        <v>0</v>
      </c>
      <c r="W316" s="11" t="s">
        <v>180</v>
      </c>
      <c r="X316" s="9">
        <v>0</v>
      </c>
      <c r="Y316" s="9">
        <f t="shared" si="29"/>
        <v>0</v>
      </c>
      <c r="Z316" s="9">
        <v>0</v>
      </c>
      <c r="AA316" s="11" t="s">
        <v>36</v>
      </c>
      <c r="AB316" s="66" t="s">
        <v>245</v>
      </c>
      <c r="AC316" s="11" t="str">
        <f t="shared" si="35"/>
        <v>EQUATORIAL</v>
      </c>
      <c r="AD316" s="11" t="s">
        <v>183</v>
      </c>
      <c r="AE316" s="10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9">
        <v>0</v>
      </c>
      <c r="AN316" s="9">
        <v>0</v>
      </c>
      <c r="AO316" s="9">
        <v>0</v>
      </c>
      <c r="AP316" s="97" t="s">
        <v>184</v>
      </c>
      <c r="AQ316" s="100">
        <v>0</v>
      </c>
    </row>
    <row r="317" spans="1:43" hidden="1">
      <c r="A317" s="103">
        <v>43132</v>
      </c>
      <c r="B317" s="47" t="s">
        <v>187</v>
      </c>
      <c r="C317" s="2" t="s">
        <v>211</v>
      </c>
      <c r="D317" s="2" t="s">
        <v>212</v>
      </c>
      <c r="E317" s="3" t="s">
        <v>213</v>
      </c>
      <c r="F317" s="4" t="s">
        <v>173</v>
      </c>
      <c r="G317" s="5">
        <v>43132</v>
      </c>
      <c r="H317" s="31">
        <v>24375528</v>
      </c>
      <c r="I317" s="31">
        <v>24375528</v>
      </c>
      <c r="J317" s="52">
        <f t="shared" si="33"/>
        <v>24375.527999999998</v>
      </c>
      <c r="K317" s="6" t="s">
        <v>174</v>
      </c>
      <c r="L317" s="7" t="s">
        <v>175</v>
      </c>
      <c r="M317" s="34" t="s">
        <v>115</v>
      </c>
      <c r="N317" s="7" t="s">
        <v>176</v>
      </c>
      <c r="O317" s="7" t="s">
        <v>289</v>
      </c>
      <c r="P317" s="7" t="s">
        <v>214</v>
      </c>
      <c r="Q317" s="8" t="s">
        <v>179</v>
      </c>
      <c r="R317" s="9">
        <v>161208160</v>
      </c>
      <c r="S317" s="54">
        <f t="shared" si="27"/>
        <v>161208.16</v>
      </c>
      <c r="T317" s="9">
        <v>120906120</v>
      </c>
      <c r="U317" s="54">
        <f t="shared" si="34"/>
        <v>120906.12</v>
      </c>
      <c r="V317" s="10">
        <v>0.75</v>
      </c>
      <c r="W317" s="11" t="s">
        <v>180</v>
      </c>
      <c r="X317" s="9">
        <v>-4376351.22</v>
      </c>
      <c r="Y317" s="9">
        <f t="shared" si="29"/>
        <v>-4376.3512199999996</v>
      </c>
      <c r="Z317" s="10">
        <f>X317/T317</f>
        <v>-3.6196275424271326E-2</v>
      </c>
      <c r="AA317" s="11" t="s">
        <v>36</v>
      </c>
      <c r="AB317" s="66" t="s">
        <v>181</v>
      </c>
      <c r="AC317" s="11" t="str">
        <f t="shared" si="35"/>
        <v>EQUATORIAL</v>
      </c>
      <c r="AD317" s="11" t="s">
        <v>183</v>
      </c>
      <c r="AE317" s="10">
        <f>Z317</f>
        <v>-3.6196275424271326E-2</v>
      </c>
      <c r="AF317" s="9">
        <f>X317</f>
        <v>-4376351.22</v>
      </c>
      <c r="AG317" s="9">
        <f>AF317/1000</f>
        <v>-4376.3512199999996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0</v>
      </c>
      <c r="AN317" s="9">
        <v>0</v>
      </c>
      <c r="AO317" s="9">
        <v>0</v>
      </c>
      <c r="AP317" s="97" t="s">
        <v>184</v>
      </c>
      <c r="AQ317" s="100">
        <v>0</v>
      </c>
    </row>
    <row r="318" spans="1:43" hidden="1">
      <c r="A318" s="103">
        <v>43405</v>
      </c>
      <c r="B318" s="47" t="s">
        <v>187</v>
      </c>
      <c r="C318" s="2" t="s">
        <v>211</v>
      </c>
      <c r="D318" s="2" t="s">
        <v>212</v>
      </c>
      <c r="E318" s="3" t="s">
        <v>213</v>
      </c>
      <c r="F318" s="4" t="s">
        <v>173</v>
      </c>
      <c r="G318" s="5">
        <v>43040</v>
      </c>
      <c r="H318" s="31">
        <v>24375528</v>
      </c>
      <c r="I318" s="31">
        <v>24375528</v>
      </c>
      <c r="J318" s="52">
        <f t="shared" si="33"/>
        <v>24375.527999999998</v>
      </c>
      <c r="K318" s="6" t="s">
        <v>174</v>
      </c>
      <c r="L318" s="7" t="s">
        <v>175</v>
      </c>
      <c r="M318" s="34" t="s">
        <v>115</v>
      </c>
      <c r="N318" s="7" t="s">
        <v>176</v>
      </c>
      <c r="O318" s="84" t="s">
        <v>287</v>
      </c>
      <c r="P318" s="7" t="s">
        <v>214</v>
      </c>
      <c r="Q318" s="8" t="s">
        <v>179</v>
      </c>
      <c r="R318" s="9">
        <v>0</v>
      </c>
      <c r="S318" s="54">
        <f t="shared" si="27"/>
        <v>0</v>
      </c>
      <c r="T318" s="9">
        <v>0</v>
      </c>
      <c r="U318" s="54">
        <f t="shared" si="34"/>
        <v>0</v>
      </c>
      <c r="V318" s="11">
        <v>0</v>
      </c>
      <c r="W318" s="11" t="s">
        <v>180</v>
      </c>
      <c r="X318" s="9">
        <v>0</v>
      </c>
      <c r="Y318" s="9">
        <f t="shared" si="29"/>
        <v>0</v>
      </c>
      <c r="Z318" s="11">
        <v>0</v>
      </c>
      <c r="AA318" s="11" t="s">
        <v>36</v>
      </c>
      <c r="AB318" s="66" t="s">
        <v>181</v>
      </c>
      <c r="AC318" s="11" t="str">
        <f t="shared" si="35"/>
        <v>EQUATORIAL</v>
      </c>
      <c r="AD318" s="11" t="s">
        <v>183</v>
      </c>
      <c r="AE318" s="10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v>0</v>
      </c>
      <c r="AN318" s="9">
        <v>0</v>
      </c>
      <c r="AO318" s="9">
        <v>0</v>
      </c>
      <c r="AP318" s="97" t="s">
        <v>184</v>
      </c>
      <c r="AQ318" s="100">
        <v>0</v>
      </c>
    </row>
    <row r="319" spans="1:43" hidden="1">
      <c r="A319" s="103">
        <v>43405</v>
      </c>
      <c r="B319" s="47" t="s">
        <v>187</v>
      </c>
      <c r="C319" s="2" t="s">
        <v>211</v>
      </c>
      <c r="D319" s="2" t="s">
        <v>212</v>
      </c>
      <c r="E319" s="3" t="s">
        <v>213</v>
      </c>
      <c r="F319" s="4" t="s">
        <v>173</v>
      </c>
      <c r="G319" s="5">
        <v>43040</v>
      </c>
      <c r="H319" s="31">
        <v>24375528</v>
      </c>
      <c r="I319" s="31">
        <v>24375528</v>
      </c>
      <c r="J319" s="52">
        <f t="shared" si="33"/>
        <v>24375.527999999998</v>
      </c>
      <c r="K319" s="6" t="s">
        <v>174</v>
      </c>
      <c r="L319" s="7" t="s">
        <v>175</v>
      </c>
      <c r="M319" s="34" t="s">
        <v>115</v>
      </c>
      <c r="N319" s="7" t="s">
        <v>176</v>
      </c>
      <c r="O319" s="84" t="s">
        <v>296</v>
      </c>
      <c r="P319" s="7" t="s">
        <v>214</v>
      </c>
      <c r="Q319" s="8" t="s">
        <v>179</v>
      </c>
      <c r="R319" s="9">
        <v>0</v>
      </c>
      <c r="S319" s="54">
        <f t="shared" si="27"/>
        <v>0</v>
      </c>
      <c r="T319" s="9">
        <v>0</v>
      </c>
      <c r="U319" s="54">
        <f t="shared" si="34"/>
        <v>0</v>
      </c>
      <c r="V319" s="11">
        <v>0</v>
      </c>
      <c r="W319" s="11" t="s">
        <v>180</v>
      </c>
      <c r="X319" s="9">
        <v>0</v>
      </c>
      <c r="Y319" s="9">
        <f t="shared" si="29"/>
        <v>0</v>
      </c>
      <c r="Z319" s="11">
        <v>0</v>
      </c>
      <c r="AA319" s="11" t="s">
        <v>36</v>
      </c>
      <c r="AB319" s="66" t="s">
        <v>181</v>
      </c>
      <c r="AC319" s="11" t="str">
        <f t="shared" si="35"/>
        <v>EQUATORIAL</v>
      </c>
      <c r="AD319" s="11" t="s">
        <v>183</v>
      </c>
      <c r="AE319" s="10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7" t="s">
        <v>184</v>
      </c>
      <c r="AQ319" s="100">
        <v>0</v>
      </c>
    </row>
    <row r="320" spans="1:43">
      <c r="A320" s="103">
        <v>43891</v>
      </c>
      <c r="B320" s="47" t="s">
        <v>198</v>
      </c>
      <c r="C320" s="2" t="s">
        <v>302</v>
      </c>
      <c r="D320" s="2" t="s">
        <v>305</v>
      </c>
      <c r="E320" s="4" t="s">
        <v>306</v>
      </c>
      <c r="F320" s="4" t="s">
        <v>173</v>
      </c>
      <c r="G320" s="5">
        <v>43891</v>
      </c>
      <c r="H320" s="31">
        <v>12267570.73</v>
      </c>
      <c r="I320" s="31">
        <v>12267570.73</v>
      </c>
      <c r="J320" s="52">
        <f t="shared" si="33"/>
        <v>12267.570730000001</v>
      </c>
      <c r="K320" s="6" t="s">
        <v>174</v>
      </c>
      <c r="L320" s="7" t="s">
        <v>175</v>
      </c>
      <c r="M320" s="34" t="s">
        <v>116</v>
      </c>
      <c r="N320" s="7" t="s">
        <v>229</v>
      </c>
      <c r="O320" s="7" t="s">
        <v>177</v>
      </c>
      <c r="P320" s="7" t="s">
        <v>303</v>
      </c>
      <c r="Q320" s="8" t="s">
        <v>179</v>
      </c>
      <c r="R320" s="9">
        <v>161208160</v>
      </c>
      <c r="S320" s="54">
        <f t="shared" si="27"/>
        <v>161208.16</v>
      </c>
      <c r="T320" s="9">
        <v>120906120</v>
      </c>
      <c r="U320" s="54">
        <f t="shared" si="34"/>
        <v>120906.12</v>
      </c>
      <c r="V320" s="10">
        <v>0.75</v>
      </c>
      <c r="W320" s="11" t="s">
        <v>180</v>
      </c>
      <c r="X320" s="9">
        <v>0</v>
      </c>
      <c r="Y320" s="9">
        <f t="shared" si="29"/>
        <v>0</v>
      </c>
      <c r="Z320" s="11">
        <v>0</v>
      </c>
      <c r="AA320" s="11" t="s">
        <v>36</v>
      </c>
      <c r="AB320" s="66" t="s">
        <v>230</v>
      </c>
      <c r="AC320" s="11" t="str">
        <f t="shared" si="35"/>
        <v>ENERGISA</v>
      </c>
      <c r="AD320" s="11" t="s">
        <v>183</v>
      </c>
      <c r="AE320" s="10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7" t="s">
        <v>184</v>
      </c>
      <c r="AQ320" s="100">
        <v>0</v>
      </c>
    </row>
    <row r="321" spans="1:43" hidden="1">
      <c r="A321" s="103">
        <v>43160</v>
      </c>
      <c r="B321" s="47" t="s">
        <v>198</v>
      </c>
      <c r="C321" s="2" t="s">
        <v>199</v>
      </c>
      <c r="D321" s="2" t="s">
        <v>228</v>
      </c>
      <c r="E321" s="3" t="s">
        <v>186</v>
      </c>
      <c r="F321" s="4" t="s">
        <v>173</v>
      </c>
      <c r="G321" s="5">
        <v>43160</v>
      </c>
      <c r="H321" s="31">
        <v>71928.820000000007</v>
      </c>
      <c r="I321" s="31">
        <v>71928.820000000007</v>
      </c>
      <c r="J321" s="52">
        <f t="shared" si="33"/>
        <v>71.928820000000002</v>
      </c>
      <c r="K321" s="6" t="s">
        <v>174</v>
      </c>
      <c r="L321" s="7" t="s">
        <v>175</v>
      </c>
      <c r="M321" s="34" t="s">
        <v>117</v>
      </c>
      <c r="N321" s="7" t="s">
        <v>220</v>
      </c>
      <c r="O321" s="7" t="s">
        <v>289</v>
      </c>
      <c r="P321" s="7" t="s">
        <v>203</v>
      </c>
      <c r="Q321" s="8" t="s">
        <v>179</v>
      </c>
      <c r="R321" s="9">
        <v>39960460</v>
      </c>
      <c r="S321" s="54">
        <f t="shared" si="27"/>
        <v>39960.46</v>
      </c>
      <c r="T321" s="9">
        <v>35964410</v>
      </c>
      <c r="U321" s="54">
        <f t="shared" si="34"/>
        <v>35964.410000000003</v>
      </c>
      <c r="V321" s="10">
        <v>0.89999989990105222</v>
      </c>
      <c r="W321" s="11" t="s">
        <v>180</v>
      </c>
      <c r="X321" s="9">
        <v>-2067451.5699999998</v>
      </c>
      <c r="Y321" s="9">
        <f t="shared" si="29"/>
        <v>-2067.4515699999997</v>
      </c>
      <c r="Z321" s="10">
        <f>X321/T321</f>
        <v>-5.7486041617254388E-2</v>
      </c>
      <c r="AA321" s="11" t="s">
        <v>36</v>
      </c>
      <c r="AB321" s="66" t="s">
        <v>221</v>
      </c>
      <c r="AC321" s="11" t="str">
        <f t="shared" si="35"/>
        <v>ENERGISA</v>
      </c>
      <c r="AD321" s="11" t="s">
        <v>183</v>
      </c>
      <c r="AE321" s="10">
        <f>Z321</f>
        <v>-5.7486041617254388E-2</v>
      </c>
      <c r="AF321" s="9">
        <f>X321</f>
        <v>-2067451.5699999998</v>
      </c>
      <c r="AG321" s="9">
        <f>AF321/1000</f>
        <v>-2067.4515699999997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9">
        <v>0</v>
      </c>
      <c r="AN321" s="9">
        <v>0</v>
      </c>
      <c r="AO321" s="9">
        <v>0</v>
      </c>
      <c r="AP321" s="97" t="s">
        <v>184</v>
      </c>
      <c r="AQ321" s="100">
        <v>0</v>
      </c>
    </row>
    <row r="322" spans="1:43" hidden="1">
      <c r="A322" s="103">
        <v>43160</v>
      </c>
      <c r="B322" s="47" t="s">
        <v>198</v>
      </c>
      <c r="C322" s="2" t="s">
        <v>199</v>
      </c>
      <c r="D322" s="2" t="s">
        <v>200</v>
      </c>
      <c r="E322" s="3" t="s">
        <v>201</v>
      </c>
      <c r="F322" s="4" t="s">
        <v>173</v>
      </c>
      <c r="G322" s="5">
        <v>43160</v>
      </c>
      <c r="H322" s="31">
        <v>7120953.1799999997</v>
      </c>
      <c r="I322" s="31">
        <v>7120953.1799999997</v>
      </c>
      <c r="J322" s="52">
        <f t="shared" si="33"/>
        <v>7120.9531799999995</v>
      </c>
      <c r="K322" s="6" t="s">
        <v>174</v>
      </c>
      <c r="L322" s="7" t="s">
        <v>175</v>
      </c>
      <c r="M322" s="34" t="s">
        <v>117</v>
      </c>
      <c r="N322" s="7" t="s">
        <v>220</v>
      </c>
      <c r="O322" s="7" t="s">
        <v>289</v>
      </c>
      <c r="P322" s="7" t="s">
        <v>203</v>
      </c>
      <c r="Q322" s="8" t="s">
        <v>179</v>
      </c>
      <c r="R322" s="9">
        <v>0</v>
      </c>
      <c r="S322" s="54">
        <f t="shared" ref="S322:S339" si="36">R322/1000</f>
        <v>0</v>
      </c>
      <c r="T322" s="9">
        <v>0</v>
      </c>
      <c r="U322" s="54">
        <f t="shared" si="34"/>
        <v>0</v>
      </c>
      <c r="V322" s="11">
        <v>0</v>
      </c>
      <c r="W322" s="11" t="s">
        <v>180</v>
      </c>
      <c r="X322" s="9">
        <v>0</v>
      </c>
      <c r="Y322" s="9">
        <f t="shared" ref="Y322:Y337" si="37">X322/1000</f>
        <v>0</v>
      </c>
      <c r="Z322" s="11">
        <v>0</v>
      </c>
      <c r="AA322" s="11" t="s">
        <v>36</v>
      </c>
      <c r="AB322" s="66" t="s">
        <v>221</v>
      </c>
      <c r="AC322" s="11" t="str">
        <f t="shared" si="35"/>
        <v>ENERGISA</v>
      </c>
      <c r="AD322" s="11" t="s">
        <v>183</v>
      </c>
      <c r="AE322" s="10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9">
        <v>0</v>
      </c>
      <c r="AN322" s="9">
        <v>0</v>
      </c>
      <c r="AO322" s="9">
        <v>0</v>
      </c>
      <c r="AP322" s="97" t="s">
        <v>184</v>
      </c>
      <c r="AQ322" s="100">
        <v>0</v>
      </c>
    </row>
    <row r="323" spans="1:43" hidden="1">
      <c r="A323" s="103">
        <v>43344</v>
      </c>
      <c r="B323" s="47" t="s">
        <v>198</v>
      </c>
      <c r="C323" s="2" t="s">
        <v>199</v>
      </c>
      <c r="D323" s="2" t="s">
        <v>200</v>
      </c>
      <c r="E323" s="3" t="s">
        <v>201</v>
      </c>
      <c r="F323" s="4" t="s">
        <v>173</v>
      </c>
      <c r="G323" s="5">
        <v>43344</v>
      </c>
      <c r="H323" s="31">
        <v>7194773.9999999991</v>
      </c>
      <c r="I323" s="31">
        <v>7194773.9999999991</v>
      </c>
      <c r="J323" s="52">
        <f t="shared" si="33"/>
        <v>7194.7739999999994</v>
      </c>
      <c r="K323" s="6" t="s">
        <v>174</v>
      </c>
      <c r="L323" s="7" t="s">
        <v>175</v>
      </c>
      <c r="M323" s="34" t="s">
        <v>118</v>
      </c>
      <c r="N323" s="7" t="s">
        <v>229</v>
      </c>
      <c r="O323" s="7" t="s">
        <v>287</v>
      </c>
      <c r="P323" s="7" t="s">
        <v>203</v>
      </c>
      <c r="Q323" s="8" t="s">
        <v>179</v>
      </c>
      <c r="R323" s="9">
        <v>39970950</v>
      </c>
      <c r="S323" s="54">
        <f t="shared" si="36"/>
        <v>39970.949999999997</v>
      </c>
      <c r="T323" s="9">
        <v>35973860</v>
      </c>
      <c r="U323" s="54">
        <f t="shared" si="34"/>
        <v>35973.86</v>
      </c>
      <c r="V323" s="10">
        <v>0.90000012509084726</v>
      </c>
      <c r="W323" s="11" t="s">
        <v>180</v>
      </c>
      <c r="X323" s="9">
        <v>-3430746.6999999997</v>
      </c>
      <c r="Y323" s="9">
        <f t="shared" si="37"/>
        <v>-3430.7466999999997</v>
      </c>
      <c r="Z323" s="10">
        <f>X323/T323</f>
        <v>-9.5367767039733847E-2</v>
      </c>
      <c r="AA323" s="11" t="s">
        <v>36</v>
      </c>
      <c r="AB323" s="66" t="s">
        <v>230</v>
      </c>
      <c r="AC323" s="11" t="str">
        <f t="shared" si="35"/>
        <v>ENERGISA</v>
      </c>
      <c r="AD323" s="11" t="s">
        <v>183</v>
      </c>
      <c r="AE323" s="10">
        <f>Z323</f>
        <v>-9.5367767039733847E-2</v>
      </c>
      <c r="AF323" s="9">
        <f>X323</f>
        <v>-3430746.6999999997</v>
      </c>
      <c r="AG323" s="9">
        <f>AF323/1000</f>
        <v>-3430.7466999999997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9">
        <v>0</v>
      </c>
      <c r="AO323" s="9">
        <v>0</v>
      </c>
      <c r="AP323" s="97" t="s">
        <v>184</v>
      </c>
      <c r="AQ323" s="100">
        <v>0</v>
      </c>
    </row>
    <row r="324" spans="1:43" hidden="1">
      <c r="A324" s="103">
        <v>44013</v>
      </c>
      <c r="B324" s="47" t="s">
        <v>198</v>
      </c>
      <c r="C324" s="2" t="s">
        <v>199</v>
      </c>
      <c r="D324" s="2" t="s">
        <v>200</v>
      </c>
      <c r="E324" s="4" t="s">
        <v>201</v>
      </c>
      <c r="F324" s="4" t="s">
        <v>173</v>
      </c>
      <c r="G324" s="5">
        <v>44013</v>
      </c>
      <c r="H324" s="31">
        <v>7194774</v>
      </c>
      <c r="I324" s="31">
        <v>7194774</v>
      </c>
      <c r="J324" s="52">
        <f t="shared" si="33"/>
        <v>7194.7740000000003</v>
      </c>
      <c r="K324" s="6" t="s">
        <v>174</v>
      </c>
      <c r="L324" s="7" t="s">
        <v>175</v>
      </c>
      <c r="M324" s="34" t="s">
        <v>118</v>
      </c>
      <c r="N324" s="7" t="s">
        <v>229</v>
      </c>
      <c r="O324" s="84" t="s">
        <v>296</v>
      </c>
      <c r="P324" s="7" t="s">
        <v>203</v>
      </c>
      <c r="Q324" s="8" t="s">
        <v>179</v>
      </c>
      <c r="R324" s="9">
        <v>0</v>
      </c>
      <c r="S324" s="54">
        <f t="shared" si="36"/>
        <v>0</v>
      </c>
      <c r="T324" s="9">
        <v>0</v>
      </c>
      <c r="U324" s="54">
        <f t="shared" si="34"/>
        <v>0</v>
      </c>
      <c r="V324" s="11">
        <v>0</v>
      </c>
      <c r="W324" s="11" t="s">
        <v>180</v>
      </c>
      <c r="X324" s="9">
        <v>0</v>
      </c>
      <c r="Y324" s="9">
        <f t="shared" si="37"/>
        <v>0</v>
      </c>
      <c r="Z324" s="11">
        <v>0</v>
      </c>
      <c r="AA324" s="11" t="s">
        <v>36</v>
      </c>
      <c r="AB324" s="66" t="s">
        <v>230</v>
      </c>
      <c r="AC324" s="11" t="str">
        <f t="shared" si="35"/>
        <v>ENERGISA</v>
      </c>
      <c r="AD324" s="11" t="s">
        <v>183</v>
      </c>
      <c r="AE324" s="10">
        <v>0</v>
      </c>
      <c r="AF324" s="9">
        <v>0</v>
      </c>
      <c r="AG324" s="9">
        <v>0</v>
      </c>
      <c r="AH324" s="9">
        <v>0</v>
      </c>
      <c r="AI324" s="9">
        <v>0</v>
      </c>
      <c r="AJ324" s="9">
        <v>0</v>
      </c>
      <c r="AK324" s="9">
        <v>0</v>
      </c>
      <c r="AL324" s="9">
        <v>0</v>
      </c>
      <c r="AM324" s="9">
        <v>0</v>
      </c>
      <c r="AN324" s="9">
        <v>0</v>
      </c>
      <c r="AO324" s="9">
        <v>0</v>
      </c>
      <c r="AP324" s="97" t="s">
        <v>184</v>
      </c>
      <c r="AQ324" s="100">
        <v>0</v>
      </c>
    </row>
    <row r="325" spans="1:43" hidden="1">
      <c r="A325" s="103">
        <v>44013</v>
      </c>
      <c r="B325" s="47" t="s">
        <v>198</v>
      </c>
      <c r="C325" s="2" t="s">
        <v>199</v>
      </c>
      <c r="D325" s="2" t="s">
        <v>200</v>
      </c>
      <c r="E325" s="4" t="s">
        <v>201</v>
      </c>
      <c r="F325" s="4" t="s">
        <v>173</v>
      </c>
      <c r="G325" s="5">
        <v>44013</v>
      </c>
      <c r="H325" s="31">
        <v>7194774</v>
      </c>
      <c r="I325" s="31">
        <v>7194774</v>
      </c>
      <c r="J325" s="52">
        <f t="shared" si="33"/>
        <v>7194.7740000000003</v>
      </c>
      <c r="K325" s="6" t="s">
        <v>174</v>
      </c>
      <c r="L325" s="7" t="s">
        <v>175</v>
      </c>
      <c r="M325" s="34" t="s">
        <v>118</v>
      </c>
      <c r="N325" s="7" t="s">
        <v>229</v>
      </c>
      <c r="O325" s="84" t="s">
        <v>289</v>
      </c>
      <c r="P325" s="7" t="s">
        <v>203</v>
      </c>
      <c r="Q325" s="8" t="s">
        <v>179</v>
      </c>
      <c r="R325" s="9">
        <v>0</v>
      </c>
      <c r="S325" s="54">
        <f t="shared" si="36"/>
        <v>0</v>
      </c>
      <c r="T325" s="9">
        <v>0</v>
      </c>
      <c r="U325" s="54">
        <f t="shared" si="34"/>
        <v>0</v>
      </c>
      <c r="V325" s="11">
        <v>0</v>
      </c>
      <c r="W325" s="11" t="s">
        <v>180</v>
      </c>
      <c r="X325" s="9">
        <v>0</v>
      </c>
      <c r="Y325" s="9">
        <f t="shared" si="37"/>
        <v>0</v>
      </c>
      <c r="Z325" s="11">
        <v>0</v>
      </c>
      <c r="AA325" s="11" t="s">
        <v>36</v>
      </c>
      <c r="AB325" s="66" t="s">
        <v>230</v>
      </c>
      <c r="AC325" s="11" t="str">
        <f t="shared" si="35"/>
        <v>ENERGISA</v>
      </c>
      <c r="AD325" s="11" t="s">
        <v>183</v>
      </c>
      <c r="AE325" s="10">
        <v>0</v>
      </c>
      <c r="AF325" s="9">
        <v>0</v>
      </c>
      <c r="AG325" s="9">
        <v>0</v>
      </c>
      <c r="AH325" s="9">
        <v>0</v>
      </c>
      <c r="AI325" s="9">
        <v>0</v>
      </c>
      <c r="AJ325" s="9">
        <v>0</v>
      </c>
      <c r="AK325" s="9">
        <v>0</v>
      </c>
      <c r="AL325" s="9">
        <v>0</v>
      </c>
      <c r="AM325" s="9">
        <v>0</v>
      </c>
      <c r="AN325" s="9">
        <v>0</v>
      </c>
      <c r="AO325" s="9">
        <v>0</v>
      </c>
      <c r="AP325" s="97" t="s">
        <v>184</v>
      </c>
      <c r="AQ325" s="100">
        <v>0</v>
      </c>
    </row>
    <row r="326" spans="1:43" hidden="1">
      <c r="A326" s="103">
        <v>43952</v>
      </c>
      <c r="B326" s="47" t="s">
        <v>226</v>
      </c>
      <c r="C326" s="2" t="s">
        <v>313</v>
      </c>
      <c r="D326" s="2" t="s">
        <v>332</v>
      </c>
      <c r="E326" s="4" t="s">
        <v>333</v>
      </c>
      <c r="F326" s="4" t="s">
        <v>173</v>
      </c>
      <c r="G326" s="5">
        <v>43952</v>
      </c>
      <c r="H326" s="31">
        <v>10876567.68</v>
      </c>
      <c r="I326" s="31">
        <v>10876567.68</v>
      </c>
      <c r="J326" s="52">
        <f t="shared" si="33"/>
        <v>10876.56768</v>
      </c>
      <c r="K326" s="6" t="s">
        <v>174</v>
      </c>
      <c r="L326" s="7" t="s">
        <v>175</v>
      </c>
      <c r="M326" s="34" t="s">
        <v>119</v>
      </c>
      <c r="N326" s="7" t="s">
        <v>243</v>
      </c>
      <c r="O326" s="7" t="s">
        <v>177</v>
      </c>
      <c r="P326" s="7" t="s">
        <v>315</v>
      </c>
      <c r="Q326" s="8" t="s">
        <v>179</v>
      </c>
      <c r="R326" s="9">
        <v>685321240</v>
      </c>
      <c r="S326" s="54">
        <f t="shared" si="36"/>
        <v>685321.24</v>
      </c>
      <c r="T326" s="9">
        <v>513990930</v>
      </c>
      <c r="U326" s="54">
        <f t="shared" si="34"/>
        <v>513990.93</v>
      </c>
      <c r="V326" s="10">
        <v>0.75</v>
      </c>
      <c r="W326" s="11" t="s">
        <v>180</v>
      </c>
      <c r="X326" s="9">
        <v>0</v>
      </c>
      <c r="Y326" s="9">
        <f t="shared" si="37"/>
        <v>0</v>
      </c>
      <c r="Z326" s="11">
        <v>0</v>
      </c>
      <c r="AA326" s="11" t="s">
        <v>36</v>
      </c>
      <c r="AB326" s="66" t="s">
        <v>245</v>
      </c>
      <c r="AC326" s="11" t="str">
        <f t="shared" si="35"/>
        <v xml:space="preserve">NEOENERGIA </v>
      </c>
      <c r="AD326" s="11" t="s">
        <v>183</v>
      </c>
      <c r="AE326" s="10">
        <v>0</v>
      </c>
      <c r="AF326" s="9">
        <v>0</v>
      </c>
      <c r="AG326" s="9">
        <v>0</v>
      </c>
      <c r="AH326" s="9">
        <v>0</v>
      </c>
      <c r="AI326" s="9">
        <v>0</v>
      </c>
      <c r="AJ326" s="9">
        <v>0</v>
      </c>
      <c r="AK326" s="9">
        <v>0</v>
      </c>
      <c r="AL326" s="9">
        <v>0</v>
      </c>
      <c r="AM326" s="9">
        <v>0</v>
      </c>
      <c r="AN326" s="9">
        <v>0</v>
      </c>
      <c r="AO326" s="9">
        <v>0</v>
      </c>
      <c r="AP326" s="97" t="s">
        <v>184</v>
      </c>
      <c r="AQ326" s="100">
        <v>0</v>
      </c>
    </row>
    <row r="327" spans="1:43" hidden="1">
      <c r="A327" s="103">
        <v>42979</v>
      </c>
      <c r="B327" s="47" t="s">
        <v>252</v>
      </c>
      <c r="C327" s="2" t="s">
        <v>252</v>
      </c>
      <c r="D327" s="2" t="s">
        <v>228</v>
      </c>
      <c r="E327" s="3" t="s">
        <v>186</v>
      </c>
      <c r="F327" s="4" t="s">
        <v>173</v>
      </c>
      <c r="G327" s="5">
        <v>42979</v>
      </c>
      <c r="H327" s="31">
        <v>2032964.3</v>
      </c>
      <c r="I327" s="31">
        <v>2032964.3</v>
      </c>
      <c r="J327" s="52">
        <f t="shared" si="33"/>
        <v>2032.9643000000001</v>
      </c>
      <c r="K327" s="6" t="s">
        <v>174</v>
      </c>
      <c r="L327" s="7" t="s">
        <v>175</v>
      </c>
      <c r="M327" s="34" t="s">
        <v>120</v>
      </c>
      <c r="N327" s="7" t="s">
        <v>243</v>
      </c>
      <c r="O327" s="7" t="s">
        <v>284</v>
      </c>
      <c r="P327" s="7" t="s">
        <v>255</v>
      </c>
      <c r="Q327" s="8" t="s">
        <v>179</v>
      </c>
      <c r="R327" s="9">
        <v>203296380</v>
      </c>
      <c r="S327" s="54">
        <f t="shared" si="36"/>
        <v>203296.38</v>
      </c>
      <c r="T327" s="9">
        <v>182966740</v>
      </c>
      <c r="U327" s="54">
        <f t="shared" si="34"/>
        <v>182966.74</v>
      </c>
      <c r="V327" s="10">
        <v>0.89999999016214649</v>
      </c>
      <c r="W327" s="11" t="s">
        <v>180</v>
      </c>
      <c r="X327" s="9">
        <v>0</v>
      </c>
      <c r="Y327" s="9">
        <f t="shared" si="37"/>
        <v>0</v>
      </c>
      <c r="Z327" s="11">
        <v>0</v>
      </c>
      <c r="AA327" s="11" t="s">
        <v>36</v>
      </c>
      <c r="AB327" s="66" t="s">
        <v>245</v>
      </c>
      <c r="AC327" s="11" t="str">
        <f t="shared" si="35"/>
        <v>AMAZONAS ENERGIA</v>
      </c>
      <c r="AD327" s="11" t="s">
        <v>183</v>
      </c>
      <c r="AE327" s="10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9">
        <v>0</v>
      </c>
      <c r="AM327" s="9">
        <v>0</v>
      </c>
      <c r="AN327" s="9">
        <v>0</v>
      </c>
      <c r="AO327" s="9">
        <v>0</v>
      </c>
      <c r="AP327" s="97" t="s">
        <v>184</v>
      </c>
      <c r="AQ327" s="100">
        <v>0</v>
      </c>
    </row>
    <row r="328" spans="1:43" hidden="1">
      <c r="A328" s="103">
        <v>42979</v>
      </c>
      <c r="B328" s="47" t="s">
        <v>252</v>
      </c>
      <c r="C328" s="2" t="s">
        <v>252</v>
      </c>
      <c r="D328" s="2" t="s">
        <v>253</v>
      </c>
      <c r="E328" s="4" t="s">
        <v>254</v>
      </c>
      <c r="F328" s="4" t="s">
        <v>173</v>
      </c>
      <c r="G328" s="5">
        <v>42979</v>
      </c>
      <c r="H328" s="31">
        <v>52857072.700000003</v>
      </c>
      <c r="I328" s="31">
        <v>52857072.700000003</v>
      </c>
      <c r="J328" s="52">
        <f t="shared" si="33"/>
        <v>52857.072700000004</v>
      </c>
      <c r="K328" s="6" t="s">
        <v>174</v>
      </c>
      <c r="L328" s="7" t="s">
        <v>175</v>
      </c>
      <c r="M328" s="34" t="s">
        <v>120</v>
      </c>
      <c r="N328" s="7" t="s">
        <v>243</v>
      </c>
      <c r="O328" s="7" t="s">
        <v>284</v>
      </c>
      <c r="P328" s="7" t="s">
        <v>255</v>
      </c>
      <c r="Q328" s="8" t="s">
        <v>179</v>
      </c>
      <c r="R328" s="9">
        <v>0</v>
      </c>
      <c r="S328" s="54">
        <f t="shared" si="36"/>
        <v>0</v>
      </c>
      <c r="T328" s="9">
        <v>0</v>
      </c>
      <c r="U328" s="54">
        <f t="shared" si="34"/>
        <v>0</v>
      </c>
      <c r="V328" s="9">
        <v>0</v>
      </c>
      <c r="W328" s="11" t="s">
        <v>180</v>
      </c>
      <c r="X328" s="9">
        <v>0</v>
      </c>
      <c r="Y328" s="9">
        <f t="shared" si="37"/>
        <v>0</v>
      </c>
      <c r="Z328" s="11">
        <v>0</v>
      </c>
      <c r="AA328" s="11" t="s">
        <v>36</v>
      </c>
      <c r="AB328" s="66" t="s">
        <v>245</v>
      </c>
      <c r="AC328" s="11" t="str">
        <f t="shared" si="35"/>
        <v>AMAZONAS ENERGIA</v>
      </c>
      <c r="AD328" s="11" t="s">
        <v>183</v>
      </c>
      <c r="AE328" s="10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9">
        <v>0</v>
      </c>
      <c r="AN328" s="9">
        <v>0</v>
      </c>
      <c r="AO328" s="9">
        <v>0</v>
      </c>
      <c r="AP328" s="97" t="s">
        <v>184</v>
      </c>
      <c r="AQ328" s="100">
        <v>0</v>
      </c>
    </row>
    <row r="329" spans="1:43" hidden="1">
      <c r="A329" s="103">
        <v>43101</v>
      </c>
      <c r="B329" s="47" t="s">
        <v>252</v>
      </c>
      <c r="C329" s="2" t="s">
        <v>252</v>
      </c>
      <c r="D329" s="2" t="s">
        <v>253</v>
      </c>
      <c r="E329" s="4" t="s">
        <v>254</v>
      </c>
      <c r="F329" s="4" t="s">
        <v>173</v>
      </c>
      <c r="G329" s="5">
        <v>43101</v>
      </c>
      <c r="H329" s="31">
        <v>34663901.340000004</v>
      </c>
      <c r="I329" s="31">
        <v>34663901.340000004</v>
      </c>
      <c r="J329" s="52">
        <f t="shared" si="33"/>
        <v>34663.901340000004</v>
      </c>
      <c r="K329" s="6" t="s">
        <v>174</v>
      </c>
      <c r="L329" s="7" t="s">
        <v>175</v>
      </c>
      <c r="M329" s="34" t="s">
        <v>120</v>
      </c>
      <c r="N329" s="7" t="s">
        <v>243</v>
      </c>
      <c r="O329" s="7" t="s">
        <v>287</v>
      </c>
      <c r="P329" s="7" t="s">
        <v>255</v>
      </c>
      <c r="Q329" s="8" t="s">
        <v>179</v>
      </c>
      <c r="R329" s="9">
        <v>0</v>
      </c>
      <c r="S329" s="54">
        <f t="shared" si="36"/>
        <v>0</v>
      </c>
      <c r="T329" s="9">
        <v>0</v>
      </c>
      <c r="U329" s="54">
        <f t="shared" si="34"/>
        <v>0</v>
      </c>
      <c r="V329" s="11">
        <v>0</v>
      </c>
      <c r="W329" s="11" t="s">
        <v>180</v>
      </c>
      <c r="X329" s="9">
        <v>0</v>
      </c>
      <c r="Y329" s="9">
        <f t="shared" si="37"/>
        <v>0</v>
      </c>
      <c r="Z329" s="11">
        <v>0</v>
      </c>
      <c r="AA329" s="11" t="s">
        <v>36</v>
      </c>
      <c r="AB329" s="66" t="s">
        <v>245</v>
      </c>
      <c r="AC329" s="11" t="str">
        <f t="shared" si="35"/>
        <v>AMAZONAS ENERGIA</v>
      </c>
      <c r="AD329" s="11" t="s">
        <v>183</v>
      </c>
      <c r="AE329" s="10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0</v>
      </c>
      <c r="AL329" s="9">
        <v>0</v>
      </c>
      <c r="AM329" s="9">
        <v>0</v>
      </c>
      <c r="AN329" s="9">
        <v>0</v>
      </c>
      <c r="AO329" s="9">
        <v>0</v>
      </c>
      <c r="AP329" s="97" t="s">
        <v>184</v>
      </c>
      <c r="AQ329" s="100">
        <v>0</v>
      </c>
    </row>
    <row r="330" spans="1:43" hidden="1">
      <c r="A330" s="103">
        <v>43132</v>
      </c>
      <c r="B330" s="47" t="s">
        <v>252</v>
      </c>
      <c r="C330" s="2" t="s">
        <v>252</v>
      </c>
      <c r="D330" s="2" t="s">
        <v>253</v>
      </c>
      <c r="E330" s="4" t="s">
        <v>254</v>
      </c>
      <c r="F330" s="4" t="s">
        <v>173</v>
      </c>
      <c r="G330" s="5">
        <v>43101</v>
      </c>
      <c r="H330" s="31">
        <v>1929456.6640000001</v>
      </c>
      <c r="I330" s="31">
        <v>1929456.6640000001</v>
      </c>
      <c r="J330" s="52">
        <f t="shared" si="33"/>
        <v>1929.456664</v>
      </c>
      <c r="K330" s="6" t="s">
        <v>174</v>
      </c>
      <c r="L330" s="7" t="s">
        <v>175</v>
      </c>
      <c r="M330" s="34" t="s">
        <v>120</v>
      </c>
      <c r="N330" s="7" t="s">
        <v>243</v>
      </c>
      <c r="O330" s="7" t="s">
        <v>287</v>
      </c>
      <c r="P330" s="7" t="s">
        <v>255</v>
      </c>
      <c r="Q330" s="8" t="s">
        <v>179</v>
      </c>
      <c r="R330" s="9">
        <v>0</v>
      </c>
      <c r="S330" s="54">
        <f t="shared" si="36"/>
        <v>0</v>
      </c>
      <c r="T330" s="9">
        <v>0</v>
      </c>
      <c r="U330" s="54">
        <f t="shared" si="34"/>
        <v>0</v>
      </c>
      <c r="V330" s="11">
        <v>0</v>
      </c>
      <c r="W330" s="11" t="s">
        <v>180</v>
      </c>
      <c r="X330" s="9">
        <v>0</v>
      </c>
      <c r="Y330" s="9">
        <f t="shared" si="37"/>
        <v>0</v>
      </c>
      <c r="Z330" s="11">
        <v>0</v>
      </c>
      <c r="AA330" s="11" t="s">
        <v>36</v>
      </c>
      <c r="AB330" s="66" t="s">
        <v>245</v>
      </c>
      <c r="AC330" s="11" t="str">
        <f t="shared" si="35"/>
        <v>AMAZONAS ENERGIA</v>
      </c>
      <c r="AD330" s="11" t="s">
        <v>183</v>
      </c>
      <c r="AE330" s="10">
        <v>0</v>
      </c>
      <c r="AF330" s="9">
        <v>0</v>
      </c>
      <c r="AG330" s="9">
        <v>0</v>
      </c>
      <c r="AH330" s="9">
        <v>0</v>
      </c>
      <c r="AI330" s="9">
        <v>0</v>
      </c>
      <c r="AJ330" s="9">
        <v>0</v>
      </c>
      <c r="AK330" s="9">
        <v>0</v>
      </c>
      <c r="AL330" s="9">
        <v>0</v>
      </c>
      <c r="AM330" s="9">
        <v>0</v>
      </c>
      <c r="AN330" s="9">
        <v>0</v>
      </c>
      <c r="AO330" s="9">
        <v>0</v>
      </c>
      <c r="AP330" s="97" t="s">
        <v>184</v>
      </c>
      <c r="AQ330" s="100">
        <v>0</v>
      </c>
    </row>
    <row r="331" spans="1:43" hidden="1">
      <c r="A331" s="103">
        <v>43191</v>
      </c>
      <c r="B331" s="47" t="s">
        <v>252</v>
      </c>
      <c r="C331" s="2" t="s">
        <v>252</v>
      </c>
      <c r="D331" s="2" t="s">
        <v>253</v>
      </c>
      <c r="E331" s="4" t="s">
        <v>254</v>
      </c>
      <c r="F331" s="4" t="s">
        <v>173</v>
      </c>
      <c r="G331" s="5">
        <v>43191</v>
      </c>
      <c r="H331" s="31">
        <v>36593358</v>
      </c>
      <c r="I331" s="31">
        <v>36593358</v>
      </c>
      <c r="J331" s="52">
        <f t="shared" si="33"/>
        <v>36593.358</v>
      </c>
      <c r="K331" s="6" t="s">
        <v>174</v>
      </c>
      <c r="L331" s="7" t="s">
        <v>175</v>
      </c>
      <c r="M331" s="34" t="s">
        <v>120</v>
      </c>
      <c r="N331" s="7" t="s">
        <v>243</v>
      </c>
      <c r="O331" s="7" t="s">
        <v>288</v>
      </c>
      <c r="P331" s="7" t="s">
        <v>255</v>
      </c>
      <c r="Q331" s="8" t="s">
        <v>179</v>
      </c>
      <c r="R331" s="9">
        <v>0</v>
      </c>
      <c r="S331" s="54">
        <f t="shared" si="36"/>
        <v>0</v>
      </c>
      <c r="T331" s="9">
        <v>0</v>
      </c>
      <c r="U331" s="54">
        <f t="shared" si="34"/>
        <v>0</v>
      </c>
      <c r="V331" s="11">
        <v>0</v>
      </c>
      <c r="W331" s="11" t="s">
        <v>180</v>
      </c>
      <c r="X331" s="9">
        <v>0</v>
      </c>
      <c r="Y331" s="9">
        <f t="shared" si="37"/>
        <v>0</v>
      </c>
      <c r="Z331" s="11">
        <v>0</v>
      </c>
      <c r="AA331" s="11" t="s">
        <v>36</v>
      </c>
      <c r="AB331" s="66" t="s">
        <v>245</v>
      </c>
      <c r="AC331" s="11" t="str">
        <f t="shared" si="35"/>
        <v>AMAZONAS ENERGIA</v>
      </c>
      <c r="AD331" s="11" t="s">
        <v>183</v>
      </c>
      <c r="AE331" s="10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0</v>
      </c>
      <c r="AM331" s="9">
        <v>0</v>
      </c>
      <c r="AN331" s="9">
        <v>0</v>
      </c>
      <c r="AO331" s="9">
        <v>0</v>
      </c>
      <c r="AP331" s="97" t="s">
        <v>184</v>
      </c>
      <c r="AQ331" s="100">
        <v>0</v>
      </c>
    </row>
    <row r="332" spans="1:43" hidden="1">
      <c r="A332" s="103">
        <v>43221</v>
      </c>
      <c r="B332" s="47" t="s">
        <v>252</v>
      </c>
      <c r="C332" s="2" t="s">
        <v>252</v>
      </c>
      <c r="D332" s="2" t="s">
        <v>253</v>
      </c>
      <c r="E332" s="4" t="s">
        <v>254</v>
      </c>
      <c r="F332" s="4" t="s">
        <v>173</v>
      </c>
      <c r="G332" s="5">
        <v>43221</v>
      </c>
      <c r="H332" s="31">
        <v>36593358</v>
      </c>
      <c r="I332" s="31">
        <v>36593358</v>
      </c>
      <c r="J332" s="52">
        <f t="shared" si="33"/>
        <v>36593.358</v>
      </c>
      <c r="K332" s="6" t="s">
        <v>174</v>
      </c>
      <c r="L332" s="7" t="s">
        <v>175</v>
      </c>
      <c r="M332" s="34" t="s">
        <v>120</v>
      </c>
      <c r="N332" s="7" t="s">
        <v>243</v>
      </c>
      <c r="O332" s="7" t="s">
        <v>289</v>
      </c>
      <c r="P332" s="7" t="s">
        <v>255</v>
      </c>
      <c r="Q332" s="8" t="s">
        <v>179</v>
      </c>
      <c r="R332" s="9">
        <v>0</v>
      </c>
      <c r="S332" s="54">
        <f t="shared" si="36"/>
        <v>0</v>
      </c>
      <c r="T332" s="9">
        <v>0</v>
      </c>
      <c r="U332" s="54">
        <f t="shared" si="34"/>
        <v>0</v>
      </c>
      <c r="V332" s="11">
        <v>0</v>
      </c>
      <c r="W332" s="11" t="s">
        <v>180</v>
      </c>
      <c r="X332" s="9">
        <v>0</v>
      </c>
      <c r="Y332" s="9">
        <f t="shared" si="37"/>
        <v>0</v>
      </c>
      <c r="Z332" s="11">
        <v>0</v>
      </c>
      <c r="AA332" s="11" t="s">
        <v>36</v>
      </c>
      <c r="AB332" s="66" t="s">
        <v>245</v>
      </c>
      <c r="AC332" s="11" t="str">
        <f t="shared" si="35"/>
        <v>AMAZONAS ENERGIA</v>
      </c>
      <c r="AD332" s="11" t="s">
        <v>183</v>
      </c>
      <c r="AE332" s="10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0</v>
      </c>
      <c r="AM332" s="9">
        <v>0</v>
      </c>
      <c r="AN332" s="9">
        <v>0</v>
      </c>
      <c r="AO332" s="9">
        <v>0</v>
      </c>
      <c r="AP332" s="97" t="s">
        <v>184</v>
      </c>
      <c r="AQ332" s="100">
        <v>0</v>
      </c>
    </row>
    <row r="333" spans="1:43" hidden="1">
      <c r="A333" s="103">
        <v>45200</v>
      </c>
      <c r="B333" s="47" t="s">
        <v>252</v>
      </c>
      <c r="C333" s="2" t="s">
        <v>252</v>
      </c>
      <c r="D333" s="2" t="s">
        <v>253</v>
      </c>
      <c r="E333" s="4" t="s">
        <v>254</v>
      </c>
      <c r="F333" s="4" t="s">
        <v>173</v>
      </c>
      <c r="G333" s="5">
        <v>45201</v>
      </c>
      <c r="H333" s="31">
        <v>13529704.880000001</v>
      </c>
      <c r="I333" s="31">
        <v>13529704.880000001</v>
      </c>
      <c r="J333" s="52">
        <f t="shared" si="33"/>
        <v>13529.704880000001</v>
      </c>
      <c r="K333" s="12">
        <v>45210</v>
      </c>
      <c r="L333" s="7" t="s">
        <v>175</v>
      </c>
      <c r="M333" s="34" t="s">
        <v>120</v>
      </c>
      <c r="N333" s="7" t="s">
        <v>243</v>
      </c>
      <c r="O333" s="7" t="s">
        <v>177</v>
      </c>
      <c r="P333" s="7" t="s">
        <v>255</v>
      </c>
      <c r="Q333" s="8" t="s">
        <v>179</v>
      </c>
      <c r="R333" s="9">
        <v>0</v>
      </c>
      <c r="S333" s="54">
        <f t="shared" si="36"/>
        <v>0</v>
      </c>
      <c r="T333" s="9">
        <v>0</v>
      </c>
      <c r="U333" s="54">
        <f t="shared" si="34"/>
        <v>0</v>
      </c>
      <c r="V333" s="11">
        <v>0</v>
      </c>
      <c r="W333" s="11" t="s">
        <v>180</v>
      </c>
      <c r="X333" s="9">
        <v>0</v>
      </c>
      <c r="Y333" s="9">
        <f t="shared" si="37"/>
        <v>0</v>
      </c>
      <c r="Z333" s="11">
        <v>0</v>
      </c>
      <c r="AA333" s="11" t="s">
        <v>36</v>
      </c>
      <c r="AB333" s="66" t="s">
        <v>245</v>
      </c>
      <c r="AC333" s="11" t="str">
        <f t="shared" si="35"/>
        <v>AMAZONAS ENERGIA</v>
      </c>
      <c r="AD333" s="11" t="s">
        <v>183</v>
      </c>
      <c r="AE333" s="10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0</v>
      </c>
      <c r="AL333" s="9">
        <v>0</v>
      </c>
      <c r="AM333" s="9">
        <v>0</v>
      </c>
      <c r="AN333" s="9">
        <v>0</v>
      </c>
      <c r="AO333" s="9">
        <v>0</v>
      </c>
      <c r="AP333" s="97" t="s">
        <v>184</v>
      </c>
      <c r="AQ333" s="100">
        <v>0</v>
      </c>
    </row>
    <row r="334" spans="1:43" hidden="1">
      <c r="A334" s="103">
        <v>43132</v>
      </c>
      <c r="B334" s="47" t="s">
        <v>187</v>
      </c>
      <c r="C334" s="2" t="s">
        <v>211</v>
      </c>
      <c r="D334" s="2" t="s">
        <v>212</v>
      </c>
      <c r="E334" s="3" t="s">
        <v>213</v>
      </c>
      <c r="F334" s="4" t="s">
        <v>173</v>
      </c>
      <c r="G334" s="5">
        <v>43132</v>
      </c>
      <c r="H334" s="31">
        <v>11185618</v>
      </c>
      <c r="I334" s="31">
        <v>11185618</v>
      </c>
      <c r="J334" s="52">
        <f t="shared" si="33"/>
        <v>11185.618</v>
      </c>
      <c r="K334" s="6" t="s">
        <v>174</v>
      </c>
      <c r="L334" s="7" t="s">
        <v>175</v>
      </c>
      <c r="M334" s="34" t="s">
        <v>121</v>
      </c>
      <c r="N334" s="7" t="s">
        <v>191</v>
      </c>
      <c r="O334" s="84" t="s">
        <v>287</v>
      </c>
      <c r="P334" s="7" t="s">
        <v>214</v>
      </c>
      <c r="Q334" s="8" t="s">
        <v>179</v>
      </c>
      <c r="R334" s="9">
        <v>62141700</v>
      </c>
      <c r="S334" s="54">
        <f t="shared" si="36"/>
        <v>62141.7</v>
      </c>
      <c r="T334" s="9">
        <v>55928090</v>
      </c>
      <c r="U334" s="54">
        <f t="shared" si="34"/>
        <v>55928.09</v>
      </c>
      <c r="V334" s="10">
        <v>0.90000901166205627</v>
      </c>
      <c r="W334" s="11" t="s">
        <v>180</v>
      </c>
      <c r="X334" s="9">
        <v>0</v>
      </c>
      <c r="Y334" s="9">
        <f t="shared" si="37"/>
        <v>0</v>
      </c>
      <c r="Z334" s="11">
        <v>0</v>
      </c>
      <c r="AA334" s="11" t="s">
        <v>36</v>
      </c>
      <c r="AB334" s="66" t="s">
        <v>193</v>
      </c>
      <c r="AC334" s="11" t="str">
        <f t="shared" si="35"/>
        <v>EQUATORIAL</v>
      </c>
      <c r="AD334" s="11" t="s">
        <v>183</v>
      </c>
      <c r="AE334" s="10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9">
        <v>0</v>
      </c>
      <c r="AM334" s="9">
        <v>0</v>
      </c>
      <c r="AN334" s="9">
        <v>0</v>
      </c>
      <c r="AO334" s="9">
        <v>0</v>
      </c>
      <c r="AP334" s="97" t="s">
        <v>184</v>
      </c>
      <c r="AQ334" s="100">
        <v>0</v>
      </c>
    </row>
    <row r="335" spans="1:43" hidden="1">
      <c r="A335" s="103">
        <v>43132</v>
      </c>
      <c r="B335" s="47" t="s">
        <v>187</v>
      </c>
      <c r="C335" s="2" t="s">
        <v>211</v>
      </c>
      <c r="D335" s="2" t="s">
        <v>212</v>
      </c>
      <c r="E335" s="3" t="s">
        <v>213</v>
      </c>
      <c r="F335" s="4" t="s">
        <v>173</v>
      </c>
      <c r="G335" s="5">
        <v>43132</v>
      </c>
      <c r="H335" s="31">
        <v>11185618</v>
      </c>
      <c r="I335" s="31">
        <v>11185618</v>
      </c>
      <c r="J335" s="52">
        <f t="shared" si="33"/>
        <v>11185.618</v>
      </c>
      <c r="K335" s="6" t="s">
        <v>174</v>
      </c>
      <c r="L335" s="7" t="s">
        <v>175</v>
      </c>
      <c r="M335" s="34" t="s">
        <v>121</v>
      </c>
      <c r="N335" s="7" t="s">
        <v>191</v>
      </c>
      <c r="O335" s="84" t="s">
        <v>288</v>
      </c>
      <c r="P335" s="7" t="s">
        <v>214</v>
      </c>
      <c r="Q335" s="8" t="s">
        <v>179</v>
      </c>
      <c r="R335" s="9">
        <v>0</v>
      </c>
      <c r="S335" s="54">
        <f t="shared" si="36"/>
        <v>0</v>
      </c>
      <c r="T335" s="9">
        <v>0</v>
      </c>
      <c r="U335" s="9">
        <v>0</v>
      </c>
      <c r="V335" s="9">
        <v>0</v>
      </c>
      <c r="W335" s="11" t="s">
        <v>180</v>
      </c>
      <c r="X335" s="9">
        <v>0</v>
      </c>
      <c r="Y335" s="9">
        <f t="shared" si="37"/>
        <v>0</v>
      </c>
      <c r="Z335" s="11">
        <v>0</v>
      </c>
      <c r="AA335" s="11" t="s">
        <v>36</v>
      </c>
      <c r="AB335" s="66" t="s">
        <v>193</v>
      </c>
      <c r="AC335" s="11" t="str">
        <f t="shared" si="35"/>
        <v>EQUATORIAL</v>
      </c>
      <c r="AD335" s="11" t="s">
        <v>183</v>
      </c>
      <c r="AE335" s="10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0</v>
      </c>
      <c r="AL335" s="9">
        <v>0</v>
      </c>
      <c r="AM335" s="9">
        <v>0</v>
      </c>
      <c r="AN335" s="9">
        <v>0</v>
      </c>
      <c r="AO335" s="9">
        <v>0</v>
      </c>
      <c r="AP335" s="97" t="s">
        <v>184</v>
      </c>
      <c r="AQ335" s="100">
        <v>0</v>
      </c>
    </row>
    <row r="336" spans="1:43" hidden="1">
      <c r="A336" s="103">
        <v>43983</v>
      </c>
      <c r="B336" s="47" t="s">
        <v>187</v>
      </c>
      <c r="C336" s="2" t="s">
        <v>328</v>
      </c>
      <c r="D336" s="2" t="s">
        <v>228</v>
      </c>
      <c r="E336" s="4" t="s">
        <v>186</v>
      </c>
      <c r="F336" s="4" t="s">
        <v>173</v>
      </c>
      <c r="G336" s="5">
        <v>43983</v>
      </c>
      <c r="H336" s="31">
        <v>27196.15</v>
      </c>
      <c r="I336" s="31">
        <v>27196.15</v>
      </c>
      <c r="J336" s="52">
        <f t="shared" si="33"/>
        <v>27.196150000000003</v>
      </c>
      <c r="K336" s="6" t="s">
        <v>174</v>
      </c>
      <c r="L336" s="7" t="s">
        <v>175</v>
      </c>
      <c r="M336" s="34" t="s">
        <v>122</v>
      </c>
      <c r="N336" s="7" t="s">
        <v>202</v>
      </c>
      <c r="O336" s="7" t="s">
        <v>177</v>
      </c>
      <c r="P336" s="7" t="s">
        <v>329</v>
      </c>
      <c r="Q336" s="8" t="s">
        <v>179</v>
      </c>
      <c r="R336" s="9">
        <v>144451950</v>
      </c>
      <c r="S336" s="54">
        <f t="shared" si="36"/>
        <v>144451.95000000001</v>
      </c>
      <c r="T336" s="9">
        <v>108616760</v>
      </c>
      <c r="U336" s="54">
        <f>T336/1000</f>
        <v>108616.76</v>
      </c>
      <c r="V336" s="10">
        <v>0.75192311353360064</v>
      </c>
      <c r="W336" s="11" t="s">
        <v>180</v>
      </c>
      <c r="X336" s="9">
        <v>0</v>
      </c>
      <c r="Y336" s="9">
        <f t="shared" si="37"/>
        <v>0</v>
      </c>
      <c r="Z336" s="11">
        <v>0</v>
      </c>
      <c r="AA336" s="11" t="s">
        <v>36</v>
      </c>
      <c r="AB336" s="66" t="s">
        <v>204</v>
      </c>
      <c r="AC336" s="11" t="str">
        <f t="shared" si="35"/>
        <v>EQUATORIAL</v>
      </c>
      <c r="AD336" s="11" t="s">
        <v>183</v>
      </c>
      <c r="AE336" s="10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0</v>
      </c>
      <c r="AM336" s="9">
        <v>0</v>
      </c>
      <c r="AN336" s="9">
        <v>0</v>
      </c>
      <c r="AO336" s="9">
        <v>0</v>
      </c>
      <c r="AP336" s="97" t="s">
        <v>184</v>
      </c>
      <c r="AQ336" s="100">
        <v>0</v>
      </c>
    </row>
    <row r="337" spans="1:43" hidden="1">
      <c r="A337" s="103">
        <v>43983</v>
      </c>
      <c r="B337" s="47" t="s">
        <v>187</v>
      </c>
      <c r="C337" s="2" t="s">
        <v>328</v>
      </c>
      <c r="D337" s="2" t="s">
        <v>341</v>
      </c>
      <c r="E337" s="4" t="s">
        <v>342</v>
      </c>
      <c r="F337" s="4" t="s">
        <v>173</v>
      </c>
      <c r="G337" s="5">
        <v>43983</v>
      </c>
      <c r="H337" s="31">
        <v>2692419.17</v>
      </c>
      <c r="I337" s="31">
        <v>2692419.17</v>
      </c>
      <c r="J337" s="52">
        <f t="shared" si="33"/>
        <v>2692.4191700000001</v>
      </c>
      <c r="K337" s="6" t="s">
        <v>174</v>
      </c>
      <c r="L337" s="7" t="s">
        <v>175</v>
      </c>
      <c r="M337" s="34" t="s">
        <v>122</v>
      </c>
      <c r="N337" s="7" t="s">
        <v>202</v>
      </c>
      <c r="O337" s="7" t="s">
        <v>177</v>
      </c>
      <c r="P337" s="7" t="s">
        <v>329</v>
      </c>
      <c r="Q337" s="8" t="s">
        <v>179</v>
      </c>
      <c r="R337" s="9">
        <v>0</v>
      </c>
      <c r="S337" s="54">
        <f t="shared" si="36"/>
        <v>0</v>
      </c>
      <c r="T337" s="9">
        <v>0</v>
      </c>
      <c r="U337" s="54">
        <f>T337/1000</f>
        <v>0</v>
      </c>
      <c r="V337" s="11">
        <v>0</v>
      </c>
      <c r="W337" s="11" t="s">
        <v>180</v>
      </c>
      <c r="X337" s="9">
        <v>0</v>
      </c>
      <c r="Y337" s="9">
        <f t="shared" si="37"/>
        <v>0</v>
      </c>
      <c r="Z337" s="11">
        <v>0</v>
      </c>
      <c r="AA337" s="11" t="s">
        <v>36</v>
      </c>
      <c r="AB337" s="66" t="s">
        <v>204</v>
      </c>
      <c r="AC337" s="11" t="str">
        <f t="shared" si="35"/>
        <v>EQUATORIAL</v>
      </c>
      <c r="AD337" s="11" t="s">
        <v>183</v>
      </c>
      <c r="AE337" s="10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>
        <v>0</v>
      </c>
      <c r="AN337" s="9">
        <v>0</v>
      </c>
      <c r="AO337" s="9">
        <v>0</v>
      </c>
      <c r="AP337" s="97" t="s">
        <v>184</v>
      </c>
      <c r="AQ337" s="100">
        <v>0</v>
      </c>
    </row>
    <row r="338" spans="1:43" hidden="1">
      <c r="A338" s="104">
        <v>46113</v>
      </c>
      <c r="B338" s="95" t="s">
        <v>345</v>
      </c>
      <c r="C338" s="2" t="s">
        <v>346</v>
      </c>
      <c r="D338" s="2" t="s">
        <v>347</v>
      </c>
      <c r="E338" s="4" t="s">
        <v>254</v>
      </c>
      <c r="F338" s="4" t="s">
        <v>173</v>
      </c>
      <c r="G338" s="5">
        <v>46113</v>
      </c>
      <c r="H338" s="31">
        <v>114434829</v>
      </c>
      <c r="I338" s="31">
        <v>114434829</v>
      </c>
      <c r="J338" s="52">
        <f t="shared" si="33"/>
        <v>114434.829</v>
      </c>
      <c r="K338" s="12">
        <v>46150</v>
      </c>
      <c r="L338" s="7" t="s">
        <v>175</v>
      </c>
      <c r="M338" s="34" t="s">
        <v>123</v>
      </c>
      <c r="N338" s="7" t="s">
        <v>330</v>
      </c>
      <c r="O338" s="7" t="s">
        <v>284</v>
      </c>
      <c r="P338" s="7" t="s">
        <v>255</v>
      </c>
      <c r="Q338" s="8" t="s">
        <v>179</v>
      </c>
      <c r="R338" s="9">
        <v>423832700</v>
      </c>
      <c r="S338" s="9">
        <f t="shared" si="36"/>
        <v>423832.7</v>
      </c>
      <c r="T338" s="9">
        <v>381449430</v>
      </c>
      <c r="U338" s="9">
        <f>T338/1000</f>
        <v>381449.43</v>
      </c>
      <c r="V338" s="10">
        <v>0.9</v>
      </c>
      <c r="W338" s="11" t="s">
        <v>180</v>
      </c>
      <c r="X338" s="9">
        <v>0</v>
      </c>
      <c r="Y338" s="9">
        <f t="shared" ref="Y338:Y339" si="38">X338/1000</f>
        <v>0</v>
      </c>
      <c r="Z338" s="11">
        <v>0</v>
      </c>
      <c r="AA338" s="11" t="s">
        <v>310</v>
      </c>
      <c r="AB338" s="66" t="s">
        <v>331</v>
      </c>
      <c r="AC338" s="11" t="str">
        <f t="shared" si="35"/>
        <v>ÂMBAR</v>
      </c>
      <c r="AD338" s="11" t="s">
        <v>6</v>
      </c>
      <c r="AE338" s="10">
        <v>0</v>
      </c>
      <c r="AF338" s="81">
        <v>0</v>
      </c>
      <c r="AG338" s="9">
        <v>0</v>
      </c>
      <c r="AH338" s="9">
        <v>0</v>
      </c>
      <c r="AI338" s="9">
        <v>0</v>
      </c>
      <c r="AJ338" s="81">
        <v>385328810</v>
      </c>
      <c r="AK338" s="79">
        <f>AJ338/1000</f>
        <v>385328.81</v>
      </c>
      <c r="AL338" s="81">
        <v>0.90900000000000003</v>
      </c>
      <c r="AM338" s="96">
        <v>38503890</v>
      </c>
      <c r="AN338" s="11">
        <f>AM338/1000</f>
        <v>38503.89</v>
      </c>
      <c r="AO338" s="81">
        <v>9.0999999999999998E-2</v>
      </c>
      <c r="AP338" s="97" t="s">
        <v>184</v>
      </c>
      <c r="AQ338" s="100">
        <v>0</v>
      </c>
    </row>
    <row r="339" spans="1:43" hidden="1">
      <c r="A339" s="104">
        <v>46113</v>
      </c>
      <c r="B339" s="95" t="s">
        <v>345</v>
      </c>
      <c r="C339" s="2" t="s">
        <v>346</v>
      </c>
      <c r="D339" s="2" t="s">
        <v>347</v>
      </c>
      <c r="E339" s="4" t="s">
        <v>254</v>
      </c>
      <c r="F339" s="4" t="s">
        <v>173</v>
      </c>
      <c r="G339" s="5">
        <v>46113</v>
      </c>
      <c r="H339" s="31">
        <v>97762329</v>
      </c>
      <c r="I339" s="31">
        <f>H339</f>
        <v>97762329</v>
      </c>
      <c r="J339" s="52">
        <f t="shared" si="33"/>
        <v>97762.328999999998</v>
      </c>
      <c r="K339" s="12">
        <v>46150</v>
      </c>
      <c r="L339" s="7" t="s">
        <v>175</v>
      </c>
      <c r="M339" s="34" t="s">
        <v>124</v>
      </c>
      <c r="N339" s="7" t="s">
        <v>202</v>
      </c>
      <c r="O339" s="7" t="s">
        <v>284</v>
      </c>
      <c r="P339" s="7" t="s">
        <v>255</v>
      </c>
      <c r="Q339" s="8" t="s">
        <v>179</v>
      </c>
      <c r="R339" s="9">
        <v>362082700</v>
      </c>
      <c r="S339" s="9">
        <f t="shared" si="36"/>
        <v>362082.7</v>
      </c>
      <c r="T339" s="9">
        <v>325874430</v>
      </c>
      <c r="U339" s="9">
        <f>T339/1000</f>
        <v>325874.43</v>
      </c>
      <c r="V339" s="10">
        <v>0.9</v>
      </c>
      <c r="W339" s="11" t="s">
        <v>285</v>
      </c>
      <c r="X339" s="9">
        <v>0</v>
      </c>
      <c r="Y339" s="9">
        <f t="shared" si="38"/>
        <v>0</v>
      </c>
      <c r="Z339" s="11">
        <v>0</v>
      </c>
      <c r="AA339" s="11" t="s">
        <v>310</v>
      </c>
      <c r="AB339" s="66" t="s">
        <v>204</v>
      </c>
      <c r="AC339" s="11" t="str">
        <f t="shared" si="35"/>
        <v>ÂMBAR</v>
      </c>
      <c r="AD339" s="11" t="s">
        <v>6</v>
      </c>
      <c r="AE339" s="10">
        <v>0</v>
      </c>
      <c r="AF339" s="81">
        <v>0</v>
      </c>
      <c r="AG339" s="9">
        <v>0</v>
      </c>
      <c r="AH339" s="9">
        <v>0</v>
      </c>
      <c r="AI339" s="9">
        <v>0</v>
      </c>
      <c r="AJ339" s="81">
        <v>329177050</v>
      </c>
      <c r="AK339" s="79">
        <f>AJ339/1000</f>
        <v>329177.05</v>
      </c>
      <c r="AL339" s="81">
        <v>0.90900000000000003</v>
      </c>
      <c r="AM339" s="96">
        <v>32905650</v>
      </c>
      <c r="AN339" s="11">
        <f>AM339/1000</f>
        <v>32905.65</v>
      </c>
      <c r="AO339" s="81">
        <v>9.0999999999999998E-2</v>
      </c>
      <c r="AP339" s="97" t="s">
        <v>184</v>
      </c>
      <c r="AQ339" s="100">
        <v>0</v>
      </c>
    </row>
    <row r="340" spans="1:43">
      <c r="I340" s="83"/>
      <c r="AC340" s="78"/>
    </row>
    <row r="341" spans="1:43">
      <c r="K341" s="82"/>
    </row>
  </sheetData>
  <conditionalFormatting sqref="K333:K335">
    <cfRule type="cellIs" dxfId="63" priority="10" operator="equal">
      <formula>"VERIFICAR"</formula>
    </cfRule>
    <cfRule type="cellIs" dxfId="62" priority="11" operator="equal">
      <formula>""</formula>
    </cfRule>
    <cfRule type="expression" dxfId="61" priority="12" stopIfTrue="1">
      <formula>$AL333="CS"</formula>
    </cfRule>
    <cfRule type="expression" dxfId="60" priority="13" stopIfTrue="1">
      <formula>$AL333="IS"</formula>
    </cfRule>
    <cfRule type="expression" dxfId="59" priority="14" stopIfTrue="1">
      <formula>$AL333="IF"</formula>
    </cfRule>
    <cfRule type="expression" dxfId="58" priority="15" stopIfTrue="1">
      <formula>$AL333="IE"</formula>
    </cfRule>
    <cfRule type="expression" dxfId="57" priority="16" stopIfTrue="1">
      <formula>$AL333="EL"</formula>
    </cfRule>
    <cfRule type="expression" dxfId="56" priority="17" stopIfTrue="1">
      <formula>$AL333="EE"</formula>
    </cfRule>
    <cfRule type="expression" dxfId="55" priority="18" stopIfTrue="1">
      <formula>$AL333="EF"</formula>
    </cfRule>
  </conditionalFormatting>
  <conditionalFormatting sqref="K338:K339">
    <cfRule type="cellIs" dxfId="54" priority="1" operator="equal">
      <formula>"VERIFICAR"</formula>
    </cfRule>
    <cfRule type="cellIs" dxfId="53" priority="2" operator="equal">
      <formula>""</formula>
    </cfRule>
    <cfRule type="expression" dxfId="52" priority="3" stopIfTrue="1">
      <formula>$AL338="CS"</formula>
    </cfRule>
    <cfRule type="expression" dxfId="51" priority="4" stopIfTrue="1">
      <formula>$AL338="IS"</formula>
    </cfRule>
    <cfRule type="expression" dxfId="50" priority="5" stopIfTrue="1">
      <formula>$AL338="IF"</formula>
    </cfRule>
    <cfRule type="expression" dxfId="49" priority="6" stopIfTrue="1">
      <formula>$AL338="IE"</formula>
    </cfRule>
    <cfRule type="expression" dxfId="48" priority="7" stopIfTrue="1">
      <formula>$AL338="EL"</formula>
    </cfRule>
    <cfRule type="expression" dxfId="47" priority="8" stopIfTrue="1">
      <formula>$AL338="EE"</formula>
    </cfRule>
    <cfRule type="expression" dxfId="46" priority="9" stopIfTrue="1">
      <formula>$AL338="EF"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38AF-BC9C-4FED-BA10-184366910181}">
  <dimension ref="A1:C194"/>
  <sheetViews>
    <sheetView topLeftCell="A115" workbookViewId="0">
      <selection activeCell="F7" sqref="F7"/>
    </sheetView>
  </sheetViews>
  <sheetFormatPr defaultRowHeight="15"/>
  <cols>
    <col min="1" max="1" width="13.42578125" bestFit="1" customWidth="1"/>
    <col min="2" max="2" width="10.7109375" bestFit="1" customWidth="1"/>
    <col min="3" max="3" width="20.42578125" bestFit="1" customWidth="1"/>
  </cols>
  <sheetData>
    <row r="1" spans="1:3">
      <c r="A1" s="42" t="s">
        <v>3</v>
      </c>
      <c r="B1" s="40" t="s">
        <v>348</v>
      </c>
      <c r="C1" s="40" t="s">
        <v>141</v>
      </c>
    </row>
    <row r="2" spans="1:3">
      <c r="A2" s="34" t="s">
        <v>54</v>
      </c>
      <c r="B2" s="7" t="s">
        <v>176</v>
      </c>
      <c r="C2" s="7" t="s">
        <v>177</v>
      </c>
    </row>
    <row r="3" spans="1:3">
      <c r="A3" s="34" t="s">
        <v>54</v>
      </c>
      <c r="B3" s="7" t="s">
        <v>176</v>
      </c>
      <c r="C3" s="7" t="s">
        <v>177</v>
      </c>
    </row>
    <row r="4" spans="1:3">
      <c r="A4" s="34" t="s">
        <v>55</v>
      </c>
      <c r="B4" s="7" t="s">
        <v>176</v>
      </c>
      <c r="C4" s="7" t="s">
        <v>177</v>
      </c>
    </row>
    <row r="5" spans="1:3">
      <c r="A5" s="34" t="s">
        <v>55</v>
      </c>
      <c r="B5" s="7" t="s">
        <v>176</v>
      </c>
      <c r="C5" s="7" t="s">
        <v>177</v>
      </c>
    </row>
    <row r="6" spans="1:3">
      <c r="A6" s="35" t="s">
        <v>56</v>
      </c>
      <c r="B6" s="7" t="s">
        <v>191</v>
      </c>
      <c r="C6" s="21">
        <v>0</v>
      </c>
    </row>
    <row r="7" spans="1:3">
      <c r="A7" s="35" t="s">
        <v>57</v>
      </c>
      <c r="B7" s="7" t="s">
        <v>191</v>
      </c>
      <c r="C7" s="21" t="s">
        <v>196</v>
      </c>
    </row>
    <row r="8" spans="1:3">
      <c r="A8" s="34" t="s">
        <v>58</v>
      </c>
      <c r="B8" s="7" t="s">
        <v>202</v>
      </c>
      <c r="C8" s="7" t="s">
        <v>177</v>
      </c>
    </row>
    <row r="9" spans="1:3">
      <c r="A9" s="34" t="s">
        <v>58</v>
      </c>
      <c r="B9" s="7" t="s">
        <v>202</v>
      </c>
      <c r="C9" s="7" t="s">
        <v>177</v>
      </c>
    </row>
    <row r="10" spans="1:3">
      <c r="A10" s="35" t="s">
        <v>59</v>
      </c>
      <c r="B10" s="7" t="s">
        <v>176</v>
      </c>
      <c r="C10" s="21">
        <v>0</v>
      </c>
    </row>
    <row r="11" spans="1:3">
      <c r="A11" s="35" t="s">
        <v>60</v>
      </c>
      <c r="B11" s="7" t="s">
        <v>208</v>
      </c>
      <c r="C11" s="21">
        <v>0</v>
      </c>
    </row>
    <row r="12" spans="1:3">
      <c r="A12" s="35" t="s">
        <v>61</v>
      </c>
      <c r="B12" s="7" t="s">
        <v>208</v>
      </c>
      <c r="C12" s="21">
        <v>0</v>
      </c>
    </row>
    <row r="13" spans="1:3">
      <c r="A13" s="35" t="s">
        <v>62</v>
      </c>
      <c r="B13" s="7" t="s">
        <v>208</v>
      </c>
      <c r="C13" s="21"/>
    </row>
    <row r="14" spans="1:3">
      <c r="A14" s="34" t="s">
        <v>63</v>
      </c>
      <c r="B14" s="7" t="s">
        <v>208</v>
      </c>
      <c r="C14" s="7" t="s">
        <v>177</v>
      </c>
    </row>
    <row r="15" spans="1:3">
      <c r="A15" s="34" t="s">
        <v>63</v>
      </c>
      <c r="B15" s="7" t="s">
        <v>208</v>
      </c>
      <c r="C15" s="7" t="s">
        <v>177</v>
      </c>
    </row>
    <row r="16" spans="1:3">
      <c r="A16" s="34" t="s">
        <v>64</v>
      </c>
      <c r="B16" s="7" t="s">
        <v>220</v>
      </c>
      <c r="C16" s="7" t="s">
        <v>177</v>
      </c>
    </row>
    <row r="17" spans="1:3">
      <c r="A17" s="34" t="s">
        <v>64</v>
      </c>
      <c r="B17" s="7" t="s">
        <v>220</v>
      </c>
      <c r="C17" s="7" t="s">
        <v>177</v>
      </c>
    </row>
    <row r="18" spans="1:3">
      <c r="A18" s="35" t="s">
        <v>65</v>
      </c>
      <c r="B18" s="7" t="s">
        <v>176</v>
      </c>
      <c r="C18" s="21">
        <v>0</v>
      </c>
    </row>
    <row r="19" spans="1:3">
      <c r="A19" s="34" t="s">
        <v>66</v>
      </c>
      <c r="B19" s="7" t="s">
        <v>229</v>
      </c>
      <c r="C19" s="7" t="s">
        <v>177</v>
      </c>
    </row>
    <row r="20" spans="1:3">
      <c r="A20" s="34" t="s">
        <v>66</v>
      </c>
      <c r="B20" s="7" t="s">
        <v>229</v>
      </c>
      <c r="C20" s="7" t="s">
        <v>177</v>
      </c>
    </row>
    <row r="21" spans="1:3">
      <c r="A21" s="35" t="s">
        <v>67</v>
      </c>
      <c r="B21" s="7" t="s">
        <v>237</v>
      </c>
      <c r="C21" s="21">
        <v>0</v>
      </c>
    </row>
    <row r="22" spans="1:3">
      <c r="A22" s="35" t="s">
        <v>349</v>
      </c>
      <c r="B22" s="7" t="s">
        <v>220</v>
      </c>
      <c r="C22" s="21" t="s">
        <v>350</v>
      </c>
    </row>
    <row r="23" spans="1:3">
      <c r="A23" s="35" t="s">
        <v>68</v>
      </c>
      <c r="B23" s="7" t="s">
        <v>243</v>
      </c>
      <c r="C23" s="21">
        <v>0</v>
      </c>
    </row>
    <row r="24" spans="1:3">
      <c r="A24" s="34" t="s">
        <v>69</v>
      </c>
      <c r="B24" s="7" t="s">
        <v>191</v>
      </c>
      <c r="C24" s="7" t="s">
        <v>177</v>
      </c>
    </row>
    <row r="25" spans="1:3">
      <c r="A25" s="35" t="s">
        <v>70</v>
      </c>
      <c r="B25" s="7" t="s">
        <v>208</v>
      </c>
      <c r="C25" s="21">
        <v>0</v>
      </c>
    </row>
    <row r="26" spans="1:3">
      <c r="A26" s="35" t="s">
        <v>71</v>
      </c>
      <c r="B26" s="7" t="s">
        <v>220</v>
      </c>
      <c r="C26" s="21">
        <v>0</v>
      </c>
    </row>
    <row r="27" spans="1:3">
      <c r="A27" s="35" t="s">
        <v>72</v>
      </c>
      <c r="B27" s="7" t="s">
        <v>237</v>
      </c>
      <c r="C27" s="21">
        <v>0</v>
      </c>
    </row>
    <row r="28" spans="1:3">
      <c r="A28" s="35" t="s">
        <v>73</v>
      </c>
      <c r="B28" s="7" t="s">
        <v>229</v>
      </c>
      <c r="C28" s="21">
        <v>0</v>
      </c>
    </row>
    <row r="29" spans="1:3">
      <c r="A29" s="34" t="s">
        <v>74</v>
      </c>
      <c r="B29" s="7" t="s">
        <v>220</v>
      </c>
      <c r="C29" s="7" t="s">
        <v>177</v>
      </c>
    </row>
    <row r="30" spans="1:3">
      <c r="A30" s="34" t="s">
        <v>75</v>
      </c>
      <c r="B30" s="7" t="s">
        <v>176</v>
      </c>
      <c r="C30" s="7" t="s">
        <v>177</v>
      </c>
    </row>
    <row r="31" spans="1:3">
      <c r="A31" s="34" t="s">
        <v>76</v>
      </c>
      <c r="B31" s="7" t="s">
        <v>220</v>
      </c>
      <c r="C31" s="7" t="s">
        <v>177</v>
      </c>
    </row>
    <row r="32" spans="1:3">
      <c r="A32" s="35" t="s">
        <v>77</v>
      </c>
      <c r="B32" s="7" t="s">
        <v>220</v>
      </c>
      <c r="C32" s="21">
        <v>0</v>
      </c>
    </row>
    <row r="33" spans="1:3">
      <c r="A33" s="34" t="s">
        <v>78</v>
      </c>
      <c r="B33" s="7" t="s">
        <v>229</v>
      </c>
      <c r="C33" s="21">
        <v>0</v>
      </c>
    </row>
    <row r="34" spans="1:3">
      <c r="A34" s="34" t="s">
        <v>79</v>
      </c>
      <c r="B34" s="7" t="s">
        <v>229</v>
      </c>
      <c r="C34" s="7" t="s">
        <v>177</v>
      </c>
    </row>
    <row r="35" spans="1:3">
      <c r="A35" s="35" t="s">
        <v>351</v>
      </c>
      <c r="B35" s="7" t="s">
        <v>229</v>
      </c>
      <c r="C35" s="21" t="s">
        <v>350</v>
      </c>
    </row>
    <row r="36" spans="1:3">
      <c r="A36" s="34" t="s">
        <v>80</v>
      </c>
      <c r="B36" s="7" t="s">
        <v>220</v>
      </c>
      <c r="C36" s="7" t="s">
        <v>177</v>
      </c>
    </row>
    <row r="37" spans="1:3">
      <c r="A37" s="35" t="s">
        <v>352</v>
      </c>
      <c r="B37" s="7" t="s">
        <v>220</v>
      </c>
      <c r="C37" s="21" t="s">
        <v>350</v>
      </c>
    </row>
    <row r="38" spans="1:3">
      <c r="A38" s="35" t="s">
        <v>81</v>
      </c>
      <c r="B38" s="7" t="s">
        <v>237</v>
      </c>
      <c r="C38" s="21">
        <v>0</v>
      </c>
    </row>
    <row r="39" spans="1:3">
      <c r="A39" s="35" t="s">
        <v>82</v>
      </c>
      <c r="B39" s="7" t="s">
        <v>191</v>
      </c>
      <c r="C39" s="21"/>
    </row>
    <row r="40" spans="1:3">
      <c r="A40" s="34" t="s">
        <v>83</v>
      </c>
      <c r="B40" s="7" t="s">
        <v>191</v>
      </c>
      <c r="C40" s="7" t="s">
        <v>353</v>
      </c>
    </row>
    <row r="41" spans="1:3">
      <c r="A41" s="34" t="s">
        <v>83</v>
      </c>
      <c r="B41" s="7" t="s">
        <v>191</v>
      </c>
      <c r="C41" s="7" t="s">
        <v>353</v>
      </c>
    </row>
    <row r="42" spans="1:3">
      <c r="A42" s="34" t="s">
        <v>83</v>
      </c>
      <c r="B42" s="7" t="s">
        <v>191</v>
      </c>
      <c r="C42" s="7" t="s">
        <v>354</v>
      </c>
    </row>
    <row r="43" spans="1:3">
      <c r="A43" s="34" t="s">
        <v>84</v>
      </c>
      <c r="B43" s="7" t="s">
        <v>176</v>
      </c>
      <c r="C43" s="7" t="s">
        <v>353</v>
      </c>
    </row>
    <row r="44" spans="1:3">
      <c r="A44" s="34" t="s">
        <v>84</v>
      </c>
      <c r="B44" s="7" t="s">
        <v>176</v>
      </c>
      <c r="C44" s="7" t="s">
        <v>353</v>
      </c>
    </row>
    <row r="45" spans="1:3">
      <c r="A45" s="34" t="s">
        <v>84</v>
      </c>
      <c r="B45" s="7" t="s">
        <v>176</v>
      </c>
      <c r="C45" s="7" t="s">
        <v>355</v>
      </c>
    </row>
    <row r="46" spans="1:3">
      <c r="A46" s="34" t="s">
        <v>84</v>
      </c>
      <c r="B46" s="7" t="s">
        <v>176</v>
      </c>
      <c r="C46" s="7" t="s">
        <v>356</v>
      </c>
    </row>
    <row r="47" spans="1:3">
      <c r="A47" s="34" t="s">
        <v>84</v>
      </c>
      <c r="B47" s="7" t="s">
        <v>176</v>
      </c>
      <c r="C47" s="7" t="s">
        <v>357</v>
      </c>
    </row>
    <row r="48" spans="1:3">
      <c r="A48" s="34" t="s">
        <v>358</v>
      </c>
      <c r="B48" s="7" t="s">
        <v>191</v>
      </c>
      <c r="C48" s="7" t="s">
        <v>359</v>
      </c>
    </row>
    <row r="49" spans="1:3">
      <c r="A49" s="34" t="s">
        <v>358</v>
      </c>
      <c r="B49" s="7" t="s">
        <v>191</v>
      </c>
      <c r="C49" s="7" t="s">
        <v>357</v>
      </c>
    </row>
    <row r="50" spans="1:3">
      <c r="A50" s="34" t="s">
        <v>358</v>
      </c>
      <c r="B50" s="7" t="s">
        <v>191</v>
      </c>
      <c r="C50" s="7" t="s">
        <v>360</v>
      </c>
    </row>
    <row r="51" spans="1:3">
      <c r="A51" s="34" t="s">
        <v>85</v>
      </c>
      <c r="B51" s="7" t="s">
        <v>191</v>
      </c>
      <c r="C51" s="7" t="s">
        <v>361</v>
      </c>
    </row>
    <row r="52" spans="1:3">
      <c r="A52" s="34" t="s">
        <v>85</v>
      </c>
      <c r="B52" s="7" t="s">
        <v>191</v>
      </c>
      <c r="C52" s="7" t="s">
        <v>361</v>
      </c>
    </row>
    <row r="53" spans="1:3">
      <c r="A53" s="34" t="s">
        <v>85</v>
      </c>
      <c r="B53" s="7" t="s">
        <v>191</v>
      </c>
      <c r="C53" s="7" t="s">
        <v>355</v>
      </c>
    </row>
    <row r="54" spans="1:3">
      <c r="A54" s="34" t="s">
        <v>85</v>
      </c>
      <c r="B54" s="7" t="s">
        <v>191</v>
      </c>
      <c r="C54" s="7" t="s">
        <v>359</v>
      </c>
    </row>
    <row r="55" spans="1:3">
      <c r="A55" s="34" t="s">
        <v>85</v>
      </c>
      <c r="B55" s="7" t="s">
        <v>191</v>
      </c>
      <c r="C55" s="7" t="s">
        <v>357</v>
      </c>
    </row>
    <row r="56" spans="1:3">
      <c r="A56" s="34" t="s">
        <v>85</v>
      </c>
      <c r="B56" s="7" t="s">
        <v>191</v>
      </c>
      <c r="C56" s="7" t="s">
        <v>360</v>
      </c>
    </row>
    <row r="57" spans="1:3">
      <c r="A57" s="34" t="s">
        <v>86</v>
      </c>
      <c r="B57" s="7" t="s">
        <v>191</v>
      </c>
      <c r="C57" s="7" t="s">
        <v>361</v>
      </c>
    </row>
    <row r="58" spans="1:3">
      <c r="A58" s="34" t="s">
        <v>86</v>
      </c>
      <c r="B58" s="7" t="s">
        <v>191</v>
      </c>
      <c r="C58" s="7" t="s">
        <v>361</v>
      </c>
    </row>
    <row r="59" spans="1:3">
      <c r="A59" s="34" t="s">
        <v>86</v>
      </c>
      <c r="B59" s="7" t="s">
        <v>191</v>
      </c>
      <c r="C59" s="7" t="s">
        <v>355</v>
      </c>
    </row>
    <row r="60" spans="1:3">
      <c r="A60" s="34" t="s">
        <v>86</v>
      </c>
      <c r="B60" s="7" t="s">
        <v>191</v>
      </c>
      <c r="C60" s="7" t="s">
        <v>356</v>
      </c>
    </row>
    <row r="61" spans="1:3">
      <c r="A61" s="34" t="s">
        <v>86</v>
      </c>
      <c r="B61" s="7" t="s">
        <v>191</v>
      </c>
      <c r="C61" s="7" t="s">
        <v>357</v>
      </c>
    </row>
    <row r="62" spans="1:3">
      <c r="A62" s="34" t="s">
        <v>86</v>
      </c>
      <c r="B62" s="7" t="s">
        <v>191</v>
      </c>
      <c r="C62" s="7" t="s">
        <v>362</v>
      </c>
    </row>
    <row r="63" spans="1:3">
      <c r="A63" s="34" t="s">
        <v>86</v>
      </c>
      <c r="B63" s="7" t="s">
        <v>191</v>
      </c>
      <c r="C63" s="7" t="s">
        <v>177</v>
      </c>
    </row>
    <row r="64" spans="1:3">
      <c r="A64" s="34" t="s">
        <v>87</v>
      </c>
      <c r="B64" s="7" t="s">
        <v>191</v>
      </c>
      <c r="C64" s="7" t="s">
        <v>353</v>
      </c>
    </row>
    <row r="65" spans="1:3">
      <c r="A65" s="34" t="s">
        <v>87</v>
      </c>
      <c r="B65" s="7" t="s">
        <v>191</v>
      </c>
      <c r="C65" s="7" t="s">
        <v>353</v>
      </c>
    </row>
    <row r="66" spans="1:3">
      <c r="A66" s="34" t="s">
        <v>87</v>
      </c>
      <c r="B66" s="7" t="s">
        <v>191</v>
      </c>
      <c r="C66" s="7" t="s">
        <v>355</v>
      </c>
    </row>
    <row r="67" spans="1:3">
      <c r="A67" s="34" t="s">
        <v>87</v>
      </c>
      <c r="B67" s="7" t="s">
        <v>191</v>
      </c>
      <c r="C67" s="7" t="s">
        <v>356</v>
      </c>
    </row>
    <row r="68" spans="1:3">
      <c r="A68" s="34" t="s">
        <v>87</v>
      </c>
      <c r="B68" s="7" t="s">
        <v>191</v>
      </c>
      <c r="C68" s="7" t="s">
        <v>357</v>
      </c>
    </row>
    <row r="69" spans="1:3">
      <c r="A69" s="34" t="s">
        <v>87</v>
      </c>
      <c r="B69" s="7" t="s">
        <v>191</v>
      </c>
      <c r="C69" s="7" t="s">
        <v>360</v>
      </c>
    </row>
    <row r="70" spans="1:3">
      <c r="A70" s="34" t="s">
        <v>87</v>
      </c>
      <c r="B70" s="7" t="s">
        <v>191</v>
      </c>
      <c r="C70" s="7" t="s">
        <v>177</v>
      </c>
    </row>
    <row r="71" spans="1:3">
      <c r="A71" s="34" t="s">
        <v>88</v>
      </c>
      <c r="B71" s="7" t="s">
        <v>191</v>
      </c>
      <c r="C71" s="7" t="s">
        <v>353</v>
      </c>
    </row>
    <row r="72" spans="1:3">
      <c r="A72" s="34" t="s">
        <v>88</v>
      </c>
      <c r="B72" s="7" t="s">
        <v>191</v>
      </c>
      <c r="C72" s="7" t="s">
        <v>353</v>
      </c>
    </row>
    <row r="73" spans="1:3">
      <c r="A73" s="34" t="s">
        <v>88</v>
      </c>
      <c r="B73" s="7" t="s">
        <v>191</v>
      </c>
      <c r="C73" s="7" t="s">
        <v>354</v>
      </c>
    </row>
    <row r="74" spans="1:3">
      <c r="A74" s="34" t="s">
        <v>88</v>
      </c>
      <c r="B74" s="7" t="s">
        <v>191</v>
      </c>
      <c r="C74" s="7" t="s">
        <v>356</v>
      </c>
    </row>
    <row r="75" spans="1:3">
      <c r="A75" s="34" t="s">
        <v>88</v>
      </c>
      <c r="B75" s="7" t="s">
        <v>191</v>
      </c>
      <c r="C75" s="7" t="s">
        <v>357</v>
      </c>
    </row>
    <row r="76" spans="1:3">
      <c r="A76" s="34" t="s">
        <v>88</v>
      </c>
      <c r="B76" s="7" t="s">
        <v>191</v>
      </c>
      <c r="C76" s="7" t="s">
        <v>360</v>
      </c>
    </row>
    <row r="77" spans="1:3">
      <c r="A77" s="34" t="s">
        <v>89</v>
      </c>
      <c r="B77" s="7" t="s">
        <v>202</v>
      </c>
      <c r="C77" s="7" t="s">
        <v>353</v>
      </c>
    </row>
    <row r="78" spans="1:3">
      <c r="A78" s="34" t="s">
        <v>89</v>
      </c>
      <c r="B78" s="7" t="s">
        <v>202</v>
      </c>
      <c r="C78" s="7" t="s">
        <v>353</v>
      </c>
    </row>
    <row r="79" spans="1:3">
      <c r="A79" s="34" t="s">
        <v>89</v>
      </c>
      <c r="B79" s="7" t="s">
        <v>202</v>
      </c>
      <c r="C79" s="7" t="s">
        <v>363</v>
      </c>
    </row>
    <row r="80" spans="1:3">
      <c r="A80" s="34" t="s">
        <v>89</v>
      </c>
      <c r="B80" s="7" t="s">
        <v>202</v>
      </c>
      <c r="C80" s="7" t="s">
        <v>357</v>
      </c>
    </row>
    <row r="81" spans="1:3">
      <c r="A81" s="34" t="s">
        <v>89</v>
      </c>
      <c r="B81" s="7" t="s">
        <v>202</v>
      </c>
      <c r="C81" s="7" t="s">
        <v>360</v>
      </c>
    </row>
    <row r="82" spans="1:3">
      <c r="A82" s="34" t="s">
        <v>90</v>
      </c>
      <c r="B82" s="7" t="s">
        <v>314</v>
      </c>
      <c r="C82" s="7" t="s">
        <v>353</v>
      </c>
    </row>
    <row r="83" spans="1:3">
      <c r="A83" s="34" t="s">
        <v>90</v>
      </c>
      <c r="B83" s="7" t="s">
        <v>314</v>
      </c>
      <c r="C83" s="7" t="s">
        <v>353</v>
      </c>
    </row>
    <row r="84" spans="1:3">
      <c r="A84" s="34" t="s">
        <v>90</v>
      </c>
      <c r="B84" s="7" t="s">
        <v>314</v>
      </c>
      <c r="C84" s="7" t="s">
        <v>355</v>
      </c>
    </row>
    <row r="85" spans="1:3">
      <c r="A85" s="34" t="s">
        <v>90</v>
      </c>
      <c r="B85" s="7" t="s">
        <v>314</v>
      </c>
      <c r="C85" s="7" t="s">
        <v>355</v>
      </c>
    </row>
    <row r="86" spans="1:3">
      <c r="A86" s="34" t="s">
        <v>90</v>
      </c>
      <c r="B86" s="7" t="s">
        <v>314</v>
      </c>
      <c r="C86" s="7" t="s">
        <v>357</v>
      </c>
    </row>
    <row r="87" spans="1:3">
      <c r="A87" s="34" t="s">
        <v>91</v>
      </c>
      <c r="B87" s="7" t="s">
        <v>229</v>
      </c>
      <c r="C87" s="7" t="s">
        <v>353</v>
      </c>
    </row>
    <row r="88" spans="1:3">
      <c r="A88" s="34" t="s">
        <v>91</v>
      </c>
      <c r="B88" s="7" t="s">
        <v>229</v>
      </c>
      <c r="C88" s="7" t="s">
        <v>353</v>
      </c>
    </row>
    <row r="89" spans="1:3">
      <c r="A89" s="34" t="s">
        <v>91</v>
      </c>
      <c r="B89" s="7" t="s">
        <v>229</v>
      </c>
      <c r="C89" s="7" t="s">
        <v>177</v>
      </c>
    </row>
    <row r="90" spans="1:3">
      <c r="A90" s="34" t="s">
        <v>92</v>
      </c>
      <c r="B90" s="7" t="s">
        <v>229</v>
      </c>
      <c r="C90" s="7" t="s">
        <v>353</v>
      </c>
    </row>
    <row r="91" spans="1:3">
      <c r="A91" s="34" t="s">
        <v>92</v>
      </c>
      <c r="B91" s="7" t="s">
        <v>229</v>
      </c>
      <c r="C91" s="7" t="s">
        <v>353</v>
      </c>
    </row>
    <row r="92" spans="1:3">
      <c r="A92" s="34" t="s">
        <v>92</v>
      </c>
      <c r="B92" s="7" t="s">
        <v>229</v>
      </c>
      <c r="C92" s="7" t="s">
        <v>363</v>
      </c>
    </row>
    <row r="93" spans="1:3">
      <c r="A93" s="34" t="s">
        <v>92</v>
      </c>
      <c r="B93" s="7" t="s">
        <v>229</v>
      </c>
      <c r="C93" s="7" t="s">
        <v>357</v>
      </c>
    </row>
    <row r="94" spans="1:3">
      <c r="A94" s="34" t="s">
        <v>93</v>
      </c>
      <c r="B94" s="7" t="s">
        <v>237</v>
      </c>
      <c r="C94" s="7" t="s">
        <v>353</v>
      </c>
    </row>
    <row r="95" spans="1:3">
      <c r="A95" s="34" t="s">
        <v>93</v>
      </c>
      <c r="B95" s="7" t="s">
        <v>237</v>
      </c>
      <c r="C95" s="7" t="s">
        <v>353</v>
      </c>
    </row>
    <row r="96" spans="1:3">
      <c r="A96" s="34" t="s">
        <v>93</v>
      </c>
      <c r="B96" s="7" t="s">
        <v>237</v>
      </c>
      <c r="C96" s="7" t="s">
        <v>353</v>
      </c>
    </row>
    <row r="97" spans="1:3">
      <c r="A97" s="34" t="s">
        <v>93</v>
      </c>
      <c r="B97" s="7" t="s">
        <v>237</v>
      </c>
      <c r="C97" s="7" t="s">
        <v>353</v>
      </c>
    </row>
    <row r="98" spans="1:3">
      <c r="A98" s="34" t="s">
        <v>93</v>
      </c>
      <c r="B98" s="7" t="s">
        <v>237</v>
      </c>
      <c r="C98" s="7">
        <v>0</v>
      </c>
    </row>
    <row r="99" spans="1:3">
      <c r="A99" s="34" t="s">
        <v>93</v>
      </c>
      <c r="B99" s="7" t="s">
        <v>237</v>
      </c>
      <c r="C99" s="7" t="s">
        <v>359</v>
      </c>
    </row>
    <row r="100" spans="1:3">
      <c r="A100" s="34" t="s">
        <v>93</v>
      </c>
      <c r="B100" s="7" t="s">
        <v>237</v>
      </c>
      <c r="C100" s="7" t="s">
        <v>357</v>
      </c>
    </row>
    <row r="101" spans="1:3">
      <c r="A101" s="34" t="s">
        <v>93</v>
      </c>
      <c r="B101" s="7" t="s">
        <v>237</v>
      </c>
      <c r="C101" s="7" t="s">
        <v>177</v>
      </c>
    </row>
    <row r="102" spans="1:3">
      <c r="A102" s="34" t="s">
        <v>94</v>
      </c>
      <c r="B102" s="7" t="s">
        <v>191</v>
      </c>
      <c r="C102" s="7" t="s">
        <v>353</v>
      </c>
    </row>
    <row r="103" spans="1:3">
      <c r="A103" s="34" t="s">
        <v>94</v>
      </c>
      <c r="B103" s="7" t="s">
        <v>191</v>
      </c>
      <c r="C103" s="7" t="s">
        <v>353</v>
      </c>
    </row>
    <row r="104" spans="1:3">
      <c r="A104" s="34" t="s">
        <v>95</v>
      </c>
      <c r="B104" s="7" t="s">
        <v>229</v>
      </c>
      <c r="C104" s="7" t="s">
        <v>353</v>
      </c>
    </row>
    <row r="105" spans="1:3">
      <c r="A105" s="34" t="s">
        <v>95</v>
      </c>
      <c r="B105" s="7" t="s">
        <v>229</v>
      </c>
      <c r="C105" s="7" t="s">
        <v>353</v>
      </c>
    </row>
    <row r="106" spans="1:3">
      <c r="A106" s="34" t="s">
        <v>95</v>
      </c>
      <c r="B106" s="7" t="s">
        <v>229</v>
      </c>
      <c r="C106" s="7" t="s">
        <v>355</v>
      </c>
    </row>
    <row r="107" spans="1:3">
      <c r="A107" s="34" t="s">
        <v>95</v>
      </c>
      <c r="B107" s="7" t="s">
        <v>229</v>
      </c>
      <c r="C107" s="7" t="s">
        <v>364</v>
      </c>
    </row>
    <row r="108" spans="1:3">
      <c r="A108" s="34" t="s">
        <v>96</v>
      </c>
      <c r="B108" s="7" t="s">
        <v>314</v>
      </c>
      <c r="C108" s="7" t="s">
        <v>353</v>
      </c>
    </row>
    <row r="109" spans="1:3">
      <c r="A109" s="34" t="s">
        <v>96</v>
      </c>
      <c r="B109" s="7" t="s">
        <v>314</v>
      </c>
      <c r="C109" s="7" t="s">
        <v>353</v>
      </c>
    </row>
    <row r="110" spans="1:3">
      <c r="A110" s="34" t="s">
        <v>96</v>
      </c>
      <c r="B110" s="7" t="s">
        <v>314</v>
      </c>
      <c r="C110" s="7" t="s">
        <v>355</v>
      </c>
    </row>
    <row r="111" spans="1:3">
      <c r="A111" s="34" t="s">
        <v>96</v>
      </c>
      <c r="B111" s="7" t="s">
        <v>314</v>
      </c>
      <c r="C111" s="7" t="s">
        <v>359</v>
      </c>
    </row>
    <row r="112" spans="1:3">
      <c r="A112" s="34" t="s">
        <v>96</v>
      </c>
      <c r="B112" s="7" t="s">
        <v>314</v>
      </c>
      <c r="C112" s="7" t="s">
        <v>357</v>
      </c>
    </row>
    <row r="113" spans="1:3">
      <c r="A113" s="34" t="s">
        <v>97</v>
      </c>
      <c r="B113" s="7" t="s">
        <v>208</v>
      </c>
      <c r="C113" s="7" t="s">
        <v>353</v>
      </c>
    </row>
    <row r="114" spans="1:3">
      <c r="A114" s="34" t="s">
        <v>97</v>
      </c>
      <c r="B114" s="7" t="s">
        <v>208</v>
      </c>
      <c r="C114" s="7" t="s">
        <v>353</v>
      </c>
    </row>
    <row r="115" spans="1:3">
      <c r="A115" s="34" t="s">
        <v>97</v>
      </c>
      <c r="B115" s="7" t="s">
        <v>208</v>
      </c>
      <c r="C115" s="7" t="s">
        <v>355</v>
      </c>
    </row>
    <row r="116" spans="1:3">
      <c r="A116" s="34" t="s">
        <v>97</v>
      </c>
      <c r="B116" s="7" t="s">
        <v>208</v>
      </c>
      <c r="C116" s="7" t="s">
        <v>364</v>
      </c>
    </row>
    <row r="117" spans="1:3">
      <c r="A117" s="34" t="s">
        <v>97</v>
      </c>
      <c r="B117" s="7" t="s">
        <v>208</v>
      </c>
      <c r="C117" s="7" t="s">
        <v>177</v>
      </c>
    </row>
    <row r="118" spans="1:3">
      <c r="A118" s="34" t="s">
        <v>98</v>
      </c>
      <c r="B118" s="7" t="s">
        <v>202</v>
      </c>
      <c r="C118" s="7" t="s">
        <v>353</v>
      </c>
    </row>
    <row r="119" spans="1:3">
      <c r="A119" s="34" t="s">
        <v>98</v>
      </c>
      <c r="B119" s="7" t="s">
        <v>202</v>
      </c>
      <c r="C119" s="7" t="s">
        <v>353</v>
      </c>
    </row>
    <row r="120" spans="1:3">
      <c r="A120" s="34" t="s">
        <v>99</v>
      </c>
      <c r="B120" s="7" t="s">
        <v>176</v>
      </c>
      <c r="C120" s="7" t="s">
        <v>353</v>
      </c>
    </row>
    <row r="121" spans="1:3">
      <c r="A121" s="34" t="s">
        <v>99</v>
      </c>
      <c r="B121" s="7" t="s">
        <v>176</v>
      </c>
      <c r="C121" s="7" t="s">
        <v>353</v>
      </c>
    </row>
    <row r="122" spans="1:3">
      <c r="A122" s="34" t="s">
        <v>99</v>
      </c>
      <c r="B122" s="7" t="s">
        <v>176</v>
      </c>
      <c r="C122" s="7" t="s">
        <v>365</v>
      </c>
    </row>
    <row r="123" spans="1:3">
      <c r="A123" s="34" t="s">
        <v>99</v>
      </c>
      <c r="B123" s="7" t="s">
        <v>176</v>
      </c>
      <c r="C123" s="7" t="s">
        <v>177</v>
      </c>
    </row>
    <row r="124" spans="1:3">
      <c r="A124" s="34" t="s">
        <v>100</v>
      </c>
      <c r="B124" s="7" t="s">
        <v>314</v>
      </c>
      <c r="C124" s="7" t="s">
        <v>353</v>
      </c>
    </row>
    <row r="125" spans="1:3">
      <c r="A125" s="34" t="s">
        <v>100</v>
      </c>
      <c r="B125" s="7" t="s">
        <v>314</v>
      </c>
      <c r="C125" s="7" t="s">
        <v>353</v>
      </c>
    </row>
    <row r="126" spans="1:3">
      <c r="A126" s="34" t="s">
        <v>100</v>
      </c>
      <c r="B126" s="7" t="s">
        <v>314</v>
      </c>
      <c r="C126" s="7" t="s">
        <v>355</v>
      </c>
    </row>
    <row r="127" spans="1:3">
      <c r="A127" s="34" t="s">
        <v>100</v>
      </c>
      <c r="B127" s="7" t="s">
        <v>314</v>
      </c>
      <c r="C127" s="7" t="s">
        <v>359</v>
      </c>
    </row>
    <row r="128" spans="1:3">
      <c r="A128" s="34" t="s">
        <v>100</v>
      </c>
      <c r="B128" s="7" t="s">
        <v>314</v>
      </c>
      <c r="C128" s="7" t="s">
        <v>357</v>
      </c>
    </row>
    <row r="129" spans="1:3">
      <c r="A129" s="34" t="s">
        <v>101</v>
      </c>
      <c r="B129" s="7" t="s">
        <v>229</v>
      </c>
      <c r="C129" s="7" t="s">
        <v>353</v>
      </c>
    </row>
    <row r="130" spans="1:3">
      <c r="A130" s="34" t="s">
        <v>101</v>
      </c>
      <c r="B130" s="7" t="s">
        <v>229</v>
      </c>
      <c r="C130" s="7" t="s">
        <v>353</v>
      </c>
    </row>
    <row r="131" spans="1:3">
      <c r="A131" s="34" t="s">
        <v>101</v>
      </c>
      <c r="B131" s="7" t="s">
        <v>229</v>
      </c>
      <c r="C131" s="7" t="s">
        <v>355</v>
      </c>
    </row>
    <row r="132" spans="1:3">
      <c r="A132" s="34" t="s">
        <v>101</v>
      </c>
      <c r="B132" s="7" t="s">
        <v>229</v>
      </c>
      <c r="C132" s="7" t="s">
        <v>356</v>
      </c>
    </row>
    <row r="133" spans="1:3">
      <c r="A133" s="34" t="s">
        <v>101</v>
      </c>
      <c r="B133" s="7" t="s">
        <v>229</v>
      </c>
      <c r="C133" s="7" t="s">
        <v>366</v>
      </c>
    </row>
    <row r="134" spans="1:3">
      <c r="A134" s="34" t="s">
        <v>101</v>
      </c>
      <c r="B134" s="7" t="s">
        <v>229</v>
      </c>
      <c r="C134" s="7" t="s">
        <v>367</v>
      </c>
    </row>
    <row r="135" spans="1:3">
      <c r="A135" s="34" t="s">
        <v>102</v>
      </c>
      <c r="B135" s="7" t="s">
        <v>220</v>
      </c>
      <c r="C135" s="7" t="s">
        <v>353</v>
      </c>
    </row>
    <row r="136" spans="1:3">
      <c r="A136" s="34" t="s">
        <v>102</v>
      </c>
      <c r="B136" s="7" t="s">
        <v>220</v>
      </c>
      <c r="C136" s="7" t="s">
        <v>353</v>
      </c>
    </row>
    <row r="137" spans="1:3">
      <c r="A137" s="34" t="s">
        <v>102</v>
      </c>
      <c r="B137" s="7" t="s">
        <v>220</v>
      </c>
      <c r="C137" s="7" t="s">
        <v>355</v>
      </c>
    </row>
    <row r="138" spans="1:3">
      <c r="A138" s="34" t="s">
        <v>102</v>
      </c>
      <c r="B138" s="7" t="s">
        <v>220</v>
      </c>
      <c r="C138" s="7" t="s">
        <v>356</v>
      </c>
    </row>
    <row r="139" spans="1:3">
      <c r="A139" s="34" t="s">
        <v>102</v>
      </c>
      <c r="B139" s="7" t="s">
        <v>220</v>
      </c>
      <c r="C139" s="7" t="s">
        <v>177</v>
      </c>
    </row>
    <row r="140" spans="1:3">
      <c r="A140" s="34" t="s">
        <v>103</v>
      </c>
      <c r="B140" s="7" t="s">
        <v>320</v>
      </c>
      <c r="C140" s="7" t="s">
        <v>353</v>
      </c>
    </row>
    <row r="141" spans="1:3">
      <c r="A141" s="34" t="s">
        <v>103</v>
      </c>
      <c r="B141" s="7" t="s">
        <v>320</v>
      </c>
      <c r="C141" s="7" t="s">
        <v>353</v>
      </c>
    </row>
    <row r="142" spans="1:3">
      <c r="A142" s="34" t="s">
        <v>103</v>
      </c>
      <c r="B142" s="7" t="s">
        <v>320</v>
      </c>
      <c r="C142" s="7" t="s">
        <v>355</v>
      </c>
    </row>
    <row r="143" spans="1:3">
      <c r="A143" s="34" t="s">
        <v>103</v>
      </c>
      <c r="B143" s="7" t="s">
        <v>320</v>
      </c>
      <c r="C143" s="7" t="s">
        <v>359</v>
      </c>
    </row>
    <row r="144" spans="1:3">
      <c r="A144" s="34" t="s">
        <v>103</v>
      </c>
      <c r="B144" s="7" t="s">
        <v>320</v>
      </c>
      <c r="C144" s="7" t="s">
        <v>357</v>
      </c>
    </row>
    <row r="145" spans="1:3">
      <c r="A145" s="34" t="s">
        <v>103</v>
      </c>
      <c r="B145" s="7" t="s">
        <v>320</v>
      </c>
      <c r="C145" s="7" t="s">
        <v>360</v>
      </c>
    </row>
    <row r="146" spans="1:3">
      <c r="A146" s="34" t="s">
        <v>103</v>
      </c>
      <c r="B146" s="7" t="s">
        <v>320</v>
      </c>
      <c r="C146" s="7" t="s">
        <v>367</v>
      </c>
    </row>
    <row r="147" spans="1:3">
      <c r="A147" s="34" t="s">
        <v>368</v>
      </c>
      <c r="B147" s="7" t="s">
        <v>220</v>
      </c>
      <c r="C147" s="7" t="s">
        <v>367</v>
      </c>
    </row>
    <row r="148" spans="1:3">
      <c r="A148" s="34" t="s">
        <v>104</v>
      </c>
      <c r="B148" s="7" t="s">
        <v>229</v>
      </c>
      <c r="C148" s="7" t="s">
        <v>353</v>
      </c>
    </row>
    <row r="149" spans="1:3">
      <c r="A149" s="34" t="s">
        <v>104</v>
      </c>
      <c r="B149" s="7" t="s">
        <v>229</v>
      </c>
      <c r="C149" s="7" t="s">
        <v>353</v>
      </c>
    </row>
    <row r="150" spans="1:3">
      <c r="A150" s="34" t="s">
        <v>104</v>
      </c>
      <c r="B150" s="7" t="s">
        <v>229</v>
      </c>
      <c r="C150" s="7" t="s">
        <v>369</v>
      </c>
    </row>
    <row r="151" spans="1:3">
      <c r="A151" s="34" t="s">
        <v>104</v>
      </c>
      <c r="B151" s="7" t="s">
        <v>229</v>
      </c>
      <c r="C151" s="7" t="s">
        <v>357</v>
      </c>
    </row>
    <row r="152" spans="1:3">
      <c r="A152" s="34" t="s">
        <v>104</v>
      </c>
      <c r="B152" s="7" t="s">
        <v>229</v>
      </c>
      <c r="C152" s="7" t="s">
        <v>360</v>
      </c>
    </row>
    <row r="153" spans="1:3">
      <c r="A153" s="34" t="s">
        <v>104</v>
      </c>
      <c r="B153" s="7" t="s">
        <v>229</v>
      </c>
      <c r="C153" s="7" t="s">
        <v>367</v>
      </c>
    </row>
    <row r="154" spans="1:3">
      <c r="A154" s="34" t="s">
        <v>105</v>
      </c>
      <c r="B154" s="7" t="s">
        <v>314</v>
      </c>
      <c r="C154" s="7" t="s">
        <v>353</v>
      </c>
    </row>
    <row r="155" spans="1:3">
      <c r="A155" s="34" t="s">
        <v>105</v>
      </c>
      <c r="B155" s="7" t="s">
        <v>314</v>
      </c>
      <c r="C155" s="7" t="s">
        <v>353</v>
      </c>
    </row>
    <row r="156" spans="1:3">
      <c r="A156" s="34" t="s">
        <v>106</v>
      </c>
      <c r="B156" s="7" t="s">
        <v>314</v>
      </c>
      <c r="C156" s="7" t="s">
        <v>353</v>
      </c>
    </row>
    <row r="157" spans="1:3">
      <c r="A157" s="34" t="s">
        <v>106</v>
      </c>
      <c r="B157" s="7" t="s">
        <v>314</v>
      </c>
      <c r="C157" s="7" t="s">
        <v>353</v>
      </c>
    </row>
    <row r="158" spans="1:3">
      <c r="A158" s="35" t="s">
        <v>107</v>
      </c>
      <c r="B158" s="7" t="s">
        <v>208</v>
      </c>
      <c r="C158" s="21">
        <v>0</v>
      </c>
    </row>
    <row r="159" spans="1:3">
      <c r="A159" s="34" t="s">
        <v>108</v>
      </c>
      <c r="B159" s="7" t="s">
        <v>220</v>
      </c>
      <c r="C159" s="7" t="s">
        <v>355</v>
      </c>
    </row>
    <row r="160" spans="1:3">
      <c r="A160" s="34" t="s">
        <v>108</v>
      </c>
      <c r="B160" s="7" t="s">
        <v>220</v>
      </c>
      <c r="C160" s="7" t="s">
        <v>356</v>
      </c>
    </row>
    <row r="161" spans="1:3">
      <c r="A161" s="34" t="s">
        <v>108</v>
      </c>
      <c r="B161" s="7" t="s">
        <v>220</v>
      </c>
      <c r="C161" s="7" t="s">
        <v>356</v>
      </c>
    </row>
    <row r="162" spans="1:3">
      <c r="A162" s="34" t="s">
        <v>108</v>
      </c>
      <c r="B162" s="7" t="s">
        <v>220</v>
      </c>
      <c r="C162" s="7" t="s">
        <v>356</v>
      </c>
    </row>
    <row r="163" spans="1:3">
      <c r="A163" s="34" t="s">
        <v>108</v>
      </c>
      <c r="B163" s="7" t="s">
        <v>220</v>
      </c>
      <c r="C163" s="7" t="s">
        <v>356</v>
      </c>
    </row>
    <row r="164" spans="1:3">
      <c r="A164" s="34" t="s">
        <v>109</v>
      </c>
      <c r="B164" s="7" t="s">
        <v>237</v>
      </c>
      <c r="C164" s="7" t="s">
        <v>357</v>
      </c>
    </row>
    <row r="165" spans="1:3">
      <c r="A165" s="34" t="s">
        <v>110</v>
      </c>
      <c r="B165" s="7" t="s">
        <v>220</v>
      </c>
      <c r="C165" s="7" t="s">
        <v>177</v>
      </c>
    </row>
    <row r="166" spans="1:3">
      <c r="A166" s="34" t="s">
        <v>111</v>
      </c>
      <c r="B166" s="7" t="s">
        <v>314</v>
      </c>
      <c r="C166" s="7" t="s">
        <v>356</v>
      </c>
    </row>
    <row r="167" spans="1:3">
      <c r="A167" s="34" t="s">
        <v>111</v>
      </c>
      <c r="B167" s="7" t="s">
        <v>314</v>
      </c>
      <c r="C167" s="7" t="s">
        <v>356</v>
      </c>
    </row>
    <row r="168" spans="1:3">
      <c r="A168" s="34" t="s">
        <v>111</v>
      </c>
      <c r="B168" s="7" t="s">
        <v>314</v>
      </c>
      <c r="C168" s="7" t="s">
        <v>357</v>
      </c>
    </row>
    <row r="169" spans="1:3">
      <c r="A169" s="36" t="s">
        <v>111</v>
      </c>
      <c r="B169" s="7" t="s">
        <v>314</v>
      </c>
      <c r="C169" s="21">
        <v>0</v>
      </c>
    </row>
    <row r="170" spans="1:3">
      <c r="A170" s="34" t="s">
        <v>112</v>
      </c>
      <c r="B170" s="7" t="s">
        <v>220</v>
      </c>
      <c r="C170" s="7" t="s">
        <v>359</v>
      </c>
    </row>
    <row r="171" spans="1:3">
      <c r="A171" s="34" t="s">
        <v>112</v>
      </c>
      <c r="B171" s="7" t="s">
        <v>220</v>
      </c>
      <c r="C171" s="7" t="s">
        <v>357</v>
      </c>
    </row>
    <row r="172" spans="1:3">
      <c r="A172" s="34" t="s">
        <v>113</v>
      </c>
      <c r="B172" s="7" t="s">
        <v>208</v>
      </c>
      <c r="C172" s="7" t="s">
        <v>355</v>
      </c>
    </row>
    <row r="173" spans="1:3">
      <c r="A173" s="34" t="s">
        <v>113</v>
      </c>
      <c r="B173" s="7" t="s">
        <v>208</v>
      </c>
      <c r="C173" s="7" t="s">
        <v>363</v>
      </c>
    </row>
    <row r="174" spans="1:3">
      <c r="A174" s="34" t="s">
        <v>114</v>
      </c>
      <c r="B174" s="7" t="s">
        <v>243</v>
      </c>
      <c r="C174" s="7" t="s">
        <v>364</v>
      </c>
    </row>
    <row r="175" spans="1:3">
      <c r="A175" s="34" t="s">
        <v>115</v>
      </c>
      <c r="B175" s="7" t="s">
        <v>176</v>
      </c>
      <c r="C175" s="7" t="s">
        <v>357</v>
      </c>
    </row>
    <row r="176" spans="1:3">
      <c r="A176" s="34" t="s">
        <v>115</v>
      </c>
      <c r="B176" s="7" t="s">
        <v>176</v>
      </c>
      <c r="C176" s="7" t="s">
        <v>363</v>
      </c>
    </row>
    <row r="177" spans="1:3">
      <c r="A177" s="34" t="s">
        <v>116</v>
      </c>
      <c r="B177" s="7" t="s">
        <v>229</v>
      </c>
      <c r="C177" s="7" t="s">
        <v>177</v>
      </c>
    </row>
    <row r="178" spans="1:3">
      <c r="A178" s="34" t="s">
        <v>117</v>
      </c>
      <c r="B178" s="7" t="s">
        <v>220</v>
      </c>
      <c r="C178" s="7" t="s">
        <v>357</v>
      </c>
    </row>
    <row r="179" spans="1:3">
      <c r="A179" s="34" t="s">
        <v>117</v>
      </c>
      <c r="B179" s="7" t="s">
        <v>220</v>
      </c>
      <c r="C179" s="7" t="s">
        <v>357</v>
      </c>
    </row>
    <row r="180" spans="1:3">
      <c r="A180" s="34" t="s">
        <v>118</v>
      </c>
      <c r="B180" s="7" t="s">
        <v>229</v>
      </c>
      <c r="C180" s="7" t="s">
        <v>355</v>
      </c>
    </row>
    <row r="181" spans="1:3">
      <c r="A181" s="34" t="s">
        <v>118</v>
      </c>
      <c r="B181" s="7" t="s">
        <v>229</v>
      </c>
      <c r="C181" s="7" t="s">
        <v>364</v>
      </c>
    </row>
    <row r="182" spans="1:3">
      <c r="A182" s="34" t="s">
        <v>119</v>
      </c>
      <c r="B182" s="7" t="s">
        <v>243</v>
      </c>
      <c r="C182" s="7" t="s">
        <v>177</v>
      </c>
    </row>
    <row r="183" spans="1:3">
      <c r="A183" s="34" t="s">
        <v>120</v>
      </c>
      <c r="B183" s="7" t="s">
        <v>243</v>
      </c>
      <c r="C183" s="7" t="s">
        <v>353</v>
      </c>
    </row>
    <row r="184" spans="1:3">
      <c r="A184" s="34" t="s">
        <v>120</v>
      </c>
      <c r="B184" s="7" t="s">
        <v>243</v>
      </c>
      <c r="C184" s="7" t="s">
        <v>353</v>
      </c>
    </row>
    <row r="185" spans="1:3">
      <c r="A185" s="34" t="s">
        <v>120</v>
      </c>
      <c r="B185" s="7" t="s">
        <v>243</v>
      </c>
      <c r="C185" s="7" t="s">
        <v>355</v>
      </c>
    </row>
    <row r="186" spans="1:3">
      <c r="A186" s="34" t="s">
        <v>120</v>
      </c>
      <c r="B186" s="7" t="s">
        <v>243</v>
      </c>
      <c r="C186" s="7" t="s">
        <v>355</v>
      </c>
    </row>
    <row r="187" spans="1:3">
      <c r="A187" s="34" t="s">
        <v>120</v>
      </c>
      <c r="B187" s="7" t="s">
        <v>243</v>
      </c>
      <c r="C187" s="7" t="s">
        <v>356</v>
      </c>
    </row>
    <row r="188" spans="1:3">
      <c r="A188" s="34" t="s">
        <v>120</v>
      </c>
      <c r="B188" s="7" t="s">
        <v>243</v>
      </c>
      <c r="C188" s="7" t="s">
        <v>357</v>
      </c>
    </row>
    <row r="189" spans="1:3">
      <c r="A189" s="34" t="s">
        <v>120</v>
      </c>
      <c r="B189" s="7" t="s">
        <v>243</v>
      </c>
      <c r="C189" s="7" t="s">
        <v>177</v>
      </c>
    </row>
    <row r="190" spans="1:3">
      <c r="A190" s="34" t="s">
        <v>121</v>
      </c>
      <c r="B190" s="7" t="s">
        <v>191</v>
      </c>
      <c r="C190" s="7" t="s">
        <v>363</v>
      </c>
    </row>
    <row r="191" spans="1:3">
      <c r="A191" s="34" t="s">
        <v>121</v>
      </c>
      <c r="B191" s="7" t="s">
        <v>191</v>
      </c>
      <c r="C191" s="7" t="s">
        <v>357</v>
      </c>
    </row>
    <row r="192" spans="1:3">
      <c r="A192" s="34" t="s">
        <v>370</v>
      </c>
      <c r="B192" s="7" t="s">
        <v>191</v>
      </c>
      <c r="C192" s="7" t="s">
        <v>177</v>
      </c>
    </row>
    <row r="193" spans="1:3">
      <c r="A193" s="34" t="s">
        <v>122</v>
      </c>
      <c r="B193" s="7" t="s">
        <v>202</v>
      </c>
      <c r="C193" s="7" t="s">
        <v>177</v>
      </c>
    </row>
    <row r="194" spans="1:3">
      <c r="A194" s="34" t="s">
        <v>122</v>
      </c>
      <c r="B194" s="7" t="s">
        <v>202</v>
      </c>
      <c r="C194" s="7" t="s">
        <v>177</v>
      </c>
    </row>
  </sheetData>
  <autoFilter ref="A1:A194" xr:uid="{896638AF-BC9C-4FED-BA10-184366910181}">
    <sortState xmlns:xlrd2="http://schemas.microsoft.com/office/spreadsheetml/2017/richdata2" ref="A2:C194">
      <sortCondition ref="A1:A194"/>
    </sortState>
  </autoFilter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0EB1-4E4B-4E64-97E0-7C141A0AF265}">
  <sheetPr filterMode="1"/>
  <dimension ref="A1:Q128"/>
  <sheetViews>
    <sheetView topLeftCell="F1" workbookViewId="0">
      <selection activeCell="F7" sqref="F7"/>
    </sheetView>
  </sheetViews>
  <sheetFormatPr defaultRowHeight="15"/>
  <cols>
    <col min="1" max="1" width="8.5703125" bestFit="1" customWidth="1"/>
    <col min="2" max="2" width="16.28515625" bestFit="1" customWidth="1"/>
    <col min="3" max="3" width="26.7109375" bestFit="1" customWidth="1"/>
    <col min="4" max="4" width="55.42578125" bestFit="1" customWidth="1"/>
    <col min="5" max="5" width="15.5703125" bestFit="1" customWidth="1"/>
    <col min="6" max="6" width="42.5703125" bestFit="1" customWidth="1"/>
    <col min="7" max="7" width="12.28515625" bestFit="1" customWidth="1"/>
    <col min="8" max="9" width="12.42578125" bestFit="1" customWidth="1"/>
    <col min="10" max="10" width="13" bestFit="1" customWidth="1"/>
    <col min="11" max="11" width="15.5703125" bestFit="1" customWidth="1"/>
    <col min="12" max="12" width="11.7109375" bestFit="1" customWidth="1"/>
    <col min="13" max="13" width="13.42578125" bestFit="1" customWidth="1"/>
    <col min="14" max="14" width="9.85546875" bestFit="1" customWidth="1"/>
    <col min="15" max="15" width="20.42578125" bestFit="1" customWidth="1"/>
    <col min="16" max="16" width="3.7109375" bestFit="1" customWidth="1"/>
    <col min="17" max="17" width="12.42578125" bestFit="1" customWidth="1"/>
  </cols>
  <sheetData>
    <row r="1" spans="1:17">
      <c r="A1" s="40" t="s">
        <v>127</v>
      </c>
      <c r="B1" s="40" t="s">
        <v>128</v>
      </c>
      <c r="C1" s="40" t="s">
        <v>129</v>
      </c>
      <c r="D1" s="40" t="s">
        <v>130</v>
      </c>
      <c r="E1" s="40" t="s">
        <v>131</v>
      </c>
      <c r="F1" s="40" t="s">
        <v>132</v>
      </c>
      <c r="G1" s="40" t="s">
        <v>133</v>
      </c>
      <c r="H1" s="41" t="s">
        <v>371</v>
      </c>
      <c r="I1" s="41" t="s">
        <v>135</v>
      </c>
      <c r="J1" s="51" t="s">
        <v>372</v>
      </c>
      <c r="K1" s="40" t="s">
        <v>137</v>
      </c>
      <c r="L1" s="40" t="s">
        <v>138</v>
      </c>
      <c r="M1" s="42" t="s">
        <v>3</v>
      </c>
      <c r="N1" s="40" t="s">
        <v>348</v>
      </c>
      <c r="O1" s="40" t="s">
        <v>141</v>
      </c>
      <c r="P1" s="40" t="s">
        <v>142</v>
      </c>
      <c r="Q1" s="43" t="s">
        <v>143</v>
      </c>
    </row>
    <row r="2" spans="1:17">
      <c r="A2" s="15">
        <v>42979</v>
      </c>
      <c r="B2" s="45" t="s">
        <v>187</v>
      </c>
      <c r="C2" s="2" t="s">
        <v>278</v>
      </c>
      <c r="D2" s="16" t="s">
        <v>279</v>
      </c>
      <c r="E2" s="17" t="s">
        <v>280</v>
      </c>
      <c r="F2" s="17" t="s">
        <v>373</v>
      </c>
      <c r="G2" s="18">
        <v>42979</v>
      </c>
      <c r="H2" s="32">
        <v>3880227.23</v>
      </c>
      <c r="I2" s="32">
        <v>-3880227.23</v>
      </c>
      <c r="J2" s="52">
        <v>-3880.22723</v>
      </c>
      <c r="K2" s="19" t="s">
        <v>174</v>
      </c>
      <c r="L2" s="20" t="s">
        <v>374</v>
      </c>
      <c r="M2" s="35" t="s">
        <v>81</v>
      </c>
      <c r="N2" s="7">
        <v>0</v>
      </c>
      <c r="O2" s="21" t="s">
        <v>350</v>
      </c>
      <c r="P2" s="21" t="s">
        <v>281</v>
      </c>
      <c r="Q2" s="8" t="s">
        <v>375</v>
      </c>
    </row>
    <row r="3" spans="1:17">
      <c r="A3" s="15">
        <v>43374</v>
      </c>
      <c r="B3" s="45" t="s">
        <v>187</v>
      </c>
      <c r="C3" s="13" t="s">
        <v>211</v>
      </c>
      <c r="D3" s="16" t="s">
        <v>212</v>
      </c>
      <c r="E3" s="22" t="s">
        <v>213</v>
      </c>
      <c r="F3" s="17" t="s">
        <v>373</v>
      </c>
      <c r="G3" s="18">
        <v>43374</v>
      </c>
      <c r="H3" s="32">
        <v>475695</v>
      </c>
      <c r="I3" s="32">
        <v>-475695</v>
      </c>
      <c r="J3" s="52">
        <v>-475.69499999999999</v>
      </c>
      <c r="K3" s="19" t="s">
        <v>174</v>
      </c>
      <c r="L3" s="20" t="s">
        <v>374</v>
      </c>
      <c r="M3" s="36" t="s">
        <v>110</v>
      </c>
      <c r="N3" s="21" t="s">
        <v>220</v>
      </c>
      <c r="O3" s="21" t="s">
        <v>350</v>
      </c>
      <c r="P3" s="21" t="s">
        <v>214</v>
      </c>
      <c r="Q3" s="8" t="s">
        <v>375</v>
      </c>
    </row>
    <row r="4" spans="1:17" hidden="1">
      <c r="A4" s="15">
        <v>43525</v>
      </c>
      <c r="B4" s="45" t="s">
        <v>226</v>
      </c>
      <c r="C4" s="45" t="s">
        <v>226</v>
      </c>
      <c r="D4" s="16" t="s">
        <v>270</v>
      </c>
      <c r="E4" s="22" t="s">
        <v>271</v>
      </c>
      <c r="F4" s="17" t="s">
        <v>376</v>
      </c>
      <c r="G4" s="18">
        <v>43525</v>
      </c>
      <c r="H4" s="32">
        <v>663932.88</v>
      </c>
      <c r="I4" s="32">
        <v>-663932.88</v>
      </c>
      <c r="J4" s="52">
        <v>-663.93287999999995</v>
      </c>
      <c r="K4" s="19" t="s">
        <v>174</v>
      </c>
      <c r="L4" s="20" t="s">
        <v>374</v>
      </c>
      <c r="M4" s="35" t="s">
        <v>78</v>
      </c>
      <c r="N4" s="21" t="s">
        <v>229</v>
      </c>
      <c r="O4" s="21" t="s">
        <v>350</v>
      </c>
      <c r="P4" s="21" t="s">
        <v>272</v>
      </c>
      <c r="Q4" s="8" t="s">
        <v>375</v>
      </c>
    </row>
    <row r="5" spans="1:17" hidden="1">
      <c r="A5" s="15">
        <v>43525</v>
      </c>
      <c r="B5" s="45" t="s">
        <v>226</v>
      </c>
      <c r="C5" s="45" t="s">
        <v>226</v>
      </c>
      <c r="D5" s="16" t="s">
        <v>270</v>
      </c>
      <c r="E5" s="22" t="s">
        <v>271</v>
      </c>
      <c r="F5" s="17" t="s">
        <v>373</v>
      </c>
      <c r="G5" s="18">
        <v>43525</v>
      </c>
      <c r="H5" s="32">
        <v>3277496.14</v>
      </c>
      <c r="I5" s="32">
        <v>-3277496.14</v>
      </c>
      <c r="J5" s="52">
        <v>-3277.4961400000002</v>
      </c>
      <c r="K5" s="19" t="s">
        <v>174</v>
      </c>
      <c r="L5" s="20" t="s">
        <v>374</v>
      </c>
      <c r="M5" s="35" t="s">
        <v>78</v>
      </c>
      <c r="N5" s="21" t="s">
        <v>229</v>
      </c>
      <c r="O5" s="21" t="s">
        <v>350</v>
      </c>
      <c r="P5" s="21" t="s">
        <v>272</v>
      </c>
      <c r="Q5" s="8" t="s">
        <v>375</v>
      </c>
    </row>
    <row r="6" spans="1:17" hidden="1">
      <c r="A6" s="15">
        <v>43709</v>
      </c>
      <c r="B6" s="45" t="s">
        <v>252</v>
      </c>
      <c r="C6" s="2" t="s">
        <v>252</v>
      </c>
      <c r="D6" s="16" t="s">
        <v>253</v>
      </c>
      <c r="E6" s="22" t="s">
        <v>254</v>
      </c>
      <c r="F6" s="17" t="s">
        <v>377</v>
      </c>
      <c r="G6" s="18">
        <v>43709</v>
      </c>
      <c r="H6" s="32">
        <v>744064.7</v>
      </c>
      <c r="I6" s="32">
        <v>-744064.7</v>
      </c>
      <c r="J6" s="52">
        <v>-744.0646999999999</v>
      </c>
      <c r="K6" s="19" t="s">
        <v>174</v>
      </c>
      <c r="L6" s="20" t="s">
        <v>374</v>
      </c>
      <c r="M6" s="35" t="s">
        <v>94</v>
      </c>
      <c r="N6" s="21" t="s">
        <v>191</v>
      </c>
      <c r="O6" s="21" t="s">
        <v>350</v>
      </c>
      <c r="P6" s="21" t="s">
        <v>255</v>
      </c>
      <c r="Q6" s="8" t="s">
        <v>375</v>
      </c>
    </row>
    <row r="7" spans="1:17" hidden="1">
      <c r="A7" s="15">
        <v>43709</v>
      </c>
      <c r="B7" s="45" t="s">
        <v>252</v>
      </c>
      <c r="C7" s="2" t="s">
        <v>252</v>
      </c>
      <c r="D7" s="16" t="s">
        <v>253</v>
      </c>
      <c r="E7" s="22" t="s">
        <v>254</v>
      </c>
      <c r="F7" s="17" t="s">
        <v>373</v>
      </c>
      <c r="G7" s="18">
        <v>43709</v>
      </c>
      <c r="H7" s="32">
        <v>20237131.800000001</v>
      </c>
      <c r="I7" s="32">
        <v>-20237131.800000001</v>
      </c>
      <c r="J7" s="52">
        <v>-20237.131799999999</v>
      </c>
      <c r="K7" s="19" t="s">
        <v>174</v>
      </c>
      <c r="L7" s="20" t="s">
        <v>374</v>
      </c>
      <c r="M7" s="35" t="s">
        <v>94</v>
      </c>
      <c r="N7" s="21" t="s">
        <v>191</v>
      </c>
      <c r="O7" s="21" t="s">
        <v>350</v>
      </c>
      <c r="P7" s="21" t="s">
        <v>255</v>
      </c>
      <c r="Q7" s="8" t="s">
        <v>375</v>
      </c>
    </row>
    <row r="8" spans="1:17" hidden="1">
      <c r="A8" s="15">
        <v>43739</v>
      </c>
      <c r="B8" s="45" t="s">
        <v>226</v>
      </c>
      <c r="C8" s="2" t="s">
        <v>227</v>
      </c>
      <c r="D8" s="16" t="s">
        <v>250</v>
      </c>
      <c r="E8" s="22" t="s">
        <v>232</v>
      </c>
      <c r="F8" s="17" t="s">
        <v>373</v>
      </c>
      <c r="G8" s="18">
        <v>43739</v>
      </c>
      <c r="H8" s="32">
        <v>838284.14</v>
      </c>
      <c r="I8" s="32">
        <v>-838284.14</v>
      </c>
      <c r="J8" s="52">
        <v>-838.28413999999998</v>
      </c>
      <c r="K8" s="19" t="s">
        <v>174</v>
      </c>
      <c r="L8" s="20" t="s">
        <v>374</v>
      </c>
      <c r="M8" s="35" t="s">
        <v>72</v>
      </c>
      <c r="N8" s="21" t="s">
        <v>237</v>
      </c>
      <c r="O8" s="21" t="s">
        <v>350</v>
      </c>
      <c r="P8" s="21" t="s">
        <v>178</v>
      </c>
      <c r="Q8" s="8" t="s">
        <v>375</v>
      </c>
    </row>
    <row r="9" spans="1:17" hidden="1">
      <c r="A9" s="15">
        <v>43739</v>
      </c>
      <c r="B9" s="45" t="s">
        <v>226</v>
      </c>
      <c r="C9" s="2" t="s">
        <v>227</v>
      </c>
      <c r="D9" s="16" t="s">
        <v>250</v>
      </c>
      <c r="E9" s="22" t="s">
        <v>232</v>
      </c>
      <c r="F9" s="17" t="s">
        <v>377</v>
      </c>
      <c r="G9" s="18">
        <v>43739</v>
      </c>
      <c r="H9" s="32">
        <v>200267.1</v>
      </c>
      <c r="I9" s="32">
        <v>-200267.1</v>
      </c>
      <c r="J9" s="52">
        <v>-200.2671</v>
      </c>
      <c r="K9" s="19" t="s">
        <v>174</v>
      </c>
      <c r="L9" s="20" t="s">
        <v>374</v>
      </c>
      <c r="M9" s="35" t="s">
        <v>72</v>
      </c>
      <c r="N9" s="21" t="s">
        <v>237</v>
      </c>
      <c r="O9" s="21" t="s">
        <v>350</v>
      </c>
      <c r="P9" s="21" t="s">
        <v>178</v>
      </c>
      <c r="Q9" s="8" t="s">
        <v>375</v>
      </c>
    </row>
    <row r="10" spans="1:17" hidden="1">
      <c r="A10" s="15">
        <v>43739</v>
      </c>
      <c r="B10" s="45" t="s">
        <v>252</v>
      </c>
      <c r="C10" s="2" t="s">
        <v>252</v>
      </c>
      <c r="D10" s="16" t="s">
        <v>253</v>
      </c>
      <c r="E10" s="22" t="s">
        <v>254</v>
      </c>
      <c r="F10" s="17" t="s">
        <v>373</v>
      </c>
      <c r="G10" s="18">
        <v>43739</v>
      </c>
      <c r="H10" s="32">
        <v>778351.2</v>
      </c>
      <c r="I10" s="32">
        <v>-778351.2</v>
      </c>
      <c r="J10" s="52">
        <v>-778.35119999999995</v>
      </c>
      <c r="K10" s="19" t="s">
        <v>174</v>
      </c>
      <c r="L10" s="20" t="s">
        <v>374</v>
      </c>
      <c r="M10" s="35" t="s">
        <v>94</v>
      </c>
      <c r="N10" s="21" t="s">
        <v>191</v>
      </c>
      <c r="O10" s="21" t="s">
        <v>378</v>
      </c>
      <c r="P10" s="21" t="s">
        <v>255</v>
      </c>
      <c r="Q10" s="8" t="s">
        <v>375</v>
      </c>
    </row>
    <row r="11" spans="1:17" hidden="1">
      <c r="A11" s="15">
        <v>43739</v>
      </c>
      <c r="B11" s="45" t="s">
        <v>252</v>
      </c>
      <c r="C11" s="2" t="s">
        <v>252</v>
      </c>
      <c r="D11" s="16" t="s">
        <v>253</v>
      </c>
      <c r="E11" s="22" t="s">
        <v>254</v>
      </c>
      <c r="F11" s="17" t="s">
        <v>377</v>
      </c>
      <c r="G11" s="18">
        <v>43739</v>
      </c>
      <c r="H11" s="32">
        <v>28617.87</v>
      </c>
      <c r="I11" s="32">
        <v>-28617.87</v>
      </c>
      <c r="J11" s="52">
        <v>-28.61787</v>
      </c>
      <c r="K11" s="19" t="s">
        <v>174</v>
      </c>
      <c r="L11" s="20" t="s">
        <v>374</v>
      </c>
      <c r="M11" s="35" t="s">
        <v>94</v>
      </c>
      <c r="N11" s="21" t="s">
        <v>191</v>
      </c>
      <c r="O11" s="21" t="s">
        <v>378</v>
      </c>
      <c r="P11" s="21" t="s">
        <v>255</v>
      </c>
      <c r="Q11" s="8" t="s">
        <v>375</v>
      </c>
    </row>
    <row r="12" spans="1:17" hidden="1">
      <c r="A12" s="15">
        <v>43800</v>
      </c>
      <c r="B12" s="45" t="s">
        <v>198</v>
      </c>
      <c r="C12" s="2" t="s">
        <v>199</v>
      </c>
      <c r="D12" s="16" t="s">
        <v>200</v>
      </c>
      <c r="E12" s="22" t="s">
        <v>201</v>
      </c>
      <c r="F12" s="17" t="s">
        <v>377</v>
      </c>
      <c r="G12" s="18">
        <v>43800</v>
      </c>
      <c r="H12" s="32">
        <v>13269.92</v>
      </c>
      <c r="I12" s="32">
        <v>-13269.92</v>
      </c>
      <c r="J12" s="52">
        <v>-13.269920000000001</v>
      </c>
      <c r="K12" s="19" t="s">
        <v>174</v>
      </c>
      <c r="L12" s="20" t="s">
        <v>374</v>
      </c>
      <c r="M12" s="35" t="s">
        <v>61</v>
      </c>
      <c r="N12" s="21" t="s">
        <v>208</v>
      </c>
      <c r="O12" s="21" t="s">
        <v>350</v>
      </c>
      <c r="P12" s="21" t="s">
        <v>203</v>
      </c>
      <c r="Q12" s="8" t="s">
        <v>375</v>
      </c>
    </row>
    <row r="13" spans="1:17" hidden="1">
      <c r="A13" s="15">
        <v>43800</v>
      </c>
      <c r="B13" s="45" t="s">
        <v>198</v>
      </c>
      <c r="C13" s="2" t="s">
        <v>199</v>
      </c>
      <c r="D13" s="16" t="s">
        <v>200</v>
      </c>
      <c r="E13" s="22" t="s">
        <v>201</v>
      </c>
      <c r="F13" s="17" t="s">
        <v>373</v>
      </c>
      <c r="G13" s="18">
        <v>43800</v>
      </c>
      <c r="H13" s="32">
        <v>4986476.8</v>
      </c>
      <c r="I13" s="32">
        <v>-4986476.8</v>
      </c>
      <c r="J13" s="52">
        <v>-4986.4767999999995</v>
      </c>
      <c r="K13" s="19" t="s">
        <v>174</v>
      </c>
      <c r="L13" s="20" t="s">
        <v>374</v>
      </c>
      <c r="M13" s="35" t="s">
        <v>61</v>
      </c>
      <c r="N13" s="21" t="s">
        <v>208</v>
      </c>
      <c r="O13" s="21" t="s">
        <v>350</v>
      </c>
      <c r="P13" s="21" t="s">
        <v>203</v>
      </c>
      <c r="Q13" s="8" t="s">
        <v>375</v>
      </c>
    </row>
    <row r="14" spans="1:17">
      <c r="A14" s="15">
        <v>43800</v>
      </c>
      <c r="B14" s="45" t="s">
        <v>187</v>
      </c>
      <c r="C14" s="2" t="s">
        <v>324</v>
      </c>
      <c r="D14" s="16" t="s">
        <v>326</v>
      </c>
      <c r="E14" s="22" t="s">
        <v>327</v>
      </c>
      <c r="F14" s="17" t="s">
        <v>377</v>
      </c>
      <c r="G14" s="18">
        <v>43800</v>
      </c>
      <c r="H14" s="32">
        <v>19085.03</v>
      </c>
      <c r="I14" s="32">
        <v>-19085.03</v>
      </c>
      <c r="J14" s="52">
        <v>-19.08503</v>
      </c>
      <c r="K14" s="19" t="s">
        <v>174</v>
      </c>
      <c r="L14" s="20" t="s">
        <v>374</v>
      </c>
      <c r="M14" s="36" t="s">
        <v>108</v>
      </c>
      <c r="N14" s="21" t="s">
        <v>220</v>
      </c>
      <c r="O14" s="21" t="s">
        <v>350</v>
      </c>
      <c r="P14" s="21" t="s">
        <v>325</v>
      </c>
      <c r="Q14" s="8" t="s">
        <v>375</v>
      </c>
    </row>
    <row r="15" spans="1:17">
      <c r="A15" s="15">
        <v>43800</v>
      </c>
      <c r="B15" s="45" t="s">
        <v>187</v>
      </c>
      <c r="C15" s="2" t="s">
        <v>324</v>
      </c>
      <c r="D15" s="16" t="s">
        <v>326</v>
      </c>
      <c r="E15" s="22" t="s">
        <v>327</v>
      </c>
      <c r="F15" s="17" t="s">
        <v>373</v>
      </c>
      <c r="G15" s="18">
        <v>43800</v>
      </c>
      <c r="H15" s="32">
        <v>341919</v>
      </c>
      <c r="I15" s="32">
        <v>-341919</v>
      </c>
      <c r="J15" s="52">
        <v>-341.91899999999998</v>
      </c>
      <c r="K15" s="19" t="s">
        <v>174</v>
      </c>
      <c r="L15" s="20" t="s">
        <v>374</v>
      </c>
      <c r="M15" s="36" t="s">
        <v>108</v>
      </c>
      <c r="N15" s="21" t="s">
        <v>220</v>
      </c>
      <c r="O15" s="21" t="s">
        <v>350</v>
      </c>
      <c r="P15" s="21" t="s">
        <v>325</v>
      </c>
      <c r="Q15" s="8" t="s">
        <v>375</v>
      </c>
    </row>
    <row r="16" spans="1:17" hidden="1">
      <c r="A16" s="15">
        <v>43800</v>
      </c>
      <c r="B16" s="45" t="s">
        <v>226</v>
      </c>
      <c r="C16" s="46" t="s">
        <v>226</v>
      </c>
      <c r="D16" s="16" t="s">
        <v>267</v>
      </c>
      <c r="E16" s="22" t="s">
        <v>268</v>
      </c>
      <c r="F16" s="17" t="s">
        <v>377</v>
      </c>
      <c r="G16" s="18">
        <v>43800</v>
      </c>
      <c r="H16" s="32">
        <v>80862.2</v>
      </c>
      <c r="I16" s="32">
        <v>-80862.2</v>
      </c>
      <c r="J16" s="52">
        <v>-80.862200000000001</v>
      </c>
      <c r="K16" s="19" t="s">
        <v>174</v>
      </c>
      <c r="L16" s="20" t="s">
        <v>374</v>
      </c>
      <c r="M16" s="35" t="s">
        <v>77</v>
      </c>
      <c r="N16" s="21" t="s">
        <v>220</v>
      </c>
      <c r="O16" s="21" t="s">
        <v>350</v>
      </c>
      <c r="P16" s="21" t="s">
        <v>269</v>
      </c>
      <c r="Q16" s="8" t="s">
        <v>375</v>
      </c>
    </row>
    <row r="17" spans="1:17" hidden="1">
      <c r="A17" s="15">
        <v>43800</v>
      </c>
      <c r="B17" s="45" t="s">
        <v>233</v>
      </c>
      <c r="C17" s="13" t="s">
        <v>247</v>
      </c>
      <c r="D17" s="16" t="s">
        <v>248</v>
      </c>
      <c r="E17" s="22" t="s">
        <v>249</v>
      </c>
      <c r="F17" s="17" t="s">
        <v>377</v>
      </c>
      <c r="G17" s="18">
        <v>43800</v>
      </c>
      <c r="H17" s="32">
        <v>21202.48</v>
      </c>
      <c r="I17" s="32">
        <v>-21202.48</v>
      </c>
      <c r="J17" s="52">
        <v>-21.202480000000001</v>
      </c>
      <c r="K17" s="19" t="s">
        <v>174</v>
      </c>
      <c r="L17" s="20" t="s">
        <v>374</v>
      </c>
      <c r="M17" s="35" t="s">
        <v>70</v>
      </c>
      <c r="N17" s="21" t="s">
        <v>208</v>
      </c>
      <c r="O17" s="21" t="s">
        <v>350</v>
      </c>
      <c r="P17" s="21" t="s">
        <v>225</v>
      </c>
      <c r="Q17" s="8" t="s">
        <v>375</v>
      </c>
    </row>
    <row r="18" spans="1:17" hidden="1">
      <c r="A18" s="15">
        <v>43800</v>
      </c>
      <c r="B18" s="45" t="s">
        <v>226</v>
      </c>
      <c r="C18" s="46" t="s">
        <v>226</v>
      </c>
      <c r="D18" s="16" t="s">
        <v>267</v>
      </c>
      <c r="E18" s="22" t="s">
        <v>268</v>
      </c>
      <c r="F18" s="17" t="s">
        <v>373</v>
      </c>
      <c r="G18" s="18">
        <v>43800</v>
      </c>
      <c r="H18" s="32">
        <v>6190786.4699999997</v>
      </c>
      <c r="I18" s="32">
        <v>-6190786.4699999997</v>
      </c>
      <c r="J18" s="52">
        <v>-6190.78647</v>
      </c>
      <c r="K18" s="19" t="s">
        <v>174</v>
      </c>
      <c r="L18" s="20" t="s">
        <v>374</v>
      </c>
      <c r="M18" s="35" t="s">
        <v>77</v>
      </c>
      <c r="N18" s="21" t="s">
        <v>220</v>
      </c>
      <c r="O18" s="21" t="s">
        <v>350</v>
      </c>
      <c r="P18" s="21" t="s">
        <v>269</v>
      </c>
      <c r="Q18" s="8" t="s">
        <v>375</v>
      </c>
    </row>
    <row r="19" spans="1:17" hidden="1">
      <c r="A19" s="15">
        <v>43800</v>
      </c>
      <c r="B19" s="45" t="s">
        <v>233</v>
      </c>
      <c r="C19" s="13" t="s">
        <v>247</v>
      </c>
      <c r="D19" s="16" t="s">
        <v>248</v>
      </c>
      <c r="E19" s="22" t="s">
        <v>249</v>
      </c>
      <c r="F19" s="17" t="s">
        <v>373</v>
      </c>
      <c r="G19" s="18">
        <v>43800</v>
      </c>
      <c r="H19" s="32">
        <v>1467759.58</v>
      </c>
      <c r="I19" s="32">
        <v>-1467759.58</v>
      </c>
      <c r="J19" s="52">
        <v>-1467.7595800000001</v>
      </c>
      <c r="K19" s="19" t="s">
        <v>174</v>
      </c>
      <c r="L19" s="20" t="s">
        <v>374</v>
      </c>
      <c r="M19" s="35" t="s">
        <v>70</v>
      </c>
      <c r="N19" s="21" t="s">
        <v>208</v>
      </c>
      <c r="O19" s="21" t="s">
        <v>350</v>
      </c>
      <c r="P19" s="21" t="s">
        <v>225</v>
      </c>
      <c r="Q19" s="8" t="s">
        <v>375</v>
      </c>
    </row>
    <row r="20" spans="1:17" hidden="1">
      <c r="A20" s="15">
        <v>43800</v>
      </c>
      <c r="B20" s="45" t="s">
        <v>222</v>
      </c>
      <c r="C20" s="13" t="s">
        <v>222</v>
      </c>
      <c r="D20" s="16" t="s">
        <v>223</v>
      </c>
      <c r="E20" s="22" t="s">
        <v>224</v>
      </c>
      <c r="F20" s="17" t="s">
        <v>377</v>
      </c>
      <c r="G20" s="18">
        <v>43800</v>
      </c>
      <c r="H20" s="32">
        <v>211.84</v>
      </c>
      <c r="I20" s="32">
        <v>-211.84</v>
      </c>
      <c r="J20" s="52">
        <v>-0.21184</v>
      </c>
      <c r="K20" s="19" t="s">
        <v>174</v>
      </c>
      <c r="L20" s="20" t="s">
        <v>374</v>
      </c>
      <c r="M20" s="35" t="s">
        <v>65</v>
      </c>
      <c r="N20" s="21" t="s">
        <v>176</v>
      </c>
      <c r="O20" s="21" t="s">
        <v>350</v>
      </c>
      <c r="P20" s="21" t="s">
        <v>225</v>
      </c>
      <c r="Q20" s="8" t="s">
        <v>375</v>
      </c>
    </row>
    <row r="21" spans="1:17" hidden="1">
      <c r="A21" s="15">
        <v>43800</v>
      </c>
      <c r="B21" s="45" t="s">
        <v>222</v>
      </c>
      <c r="C21" s="13" t="s">
        <v>222</v>
      </c>
      <c r="D21" s="16" t="s">
        <v>223</v>
      </c>
      <c r="E21" s="22" t="s">
        <v>224</v>
      </c>
      <c r="F21" s="17" t="s">
        <v>373</v>
      </c>
      <c r="G21" s="18">
        <v>43800</v>
      </c>
      <c r="H21" s="32">
        <v>79604.23</v>
      </c>
      <c r="I21" s="32">
        <v>-79604.23</v>
      </c>
      <c r="J21" s="52">
        <v>-79.604230000000001</v>
      </c>
      <c r="K21" s="19" t="s">
        <v>174</v>
      </c>
      <c r="L21" s="20" t="s">
        <v>374</v>
      </c>
      <c r="M21" s="35" t="s">
        <v>65</v>
      </c>
      <c r="N21" s="21" t="s">
        <v>176</v>
      </c>
      <c r="O21" s="21" t="s">
        <v>350</v>
      </c>
      <c r="P21" s="21" t="s">
        <v>225</v>
      </c>
      <c r="Q21" s="8" t="s">
        <v>375</v>
      </c>
    </row>
    <row r="22" spans="1:17">
      <c r="A22" s="15">
        <v>43831</v>
      </c>
      <c r="B22" s="45" t="s">
        <v>187</v>
      </c>
      <c r="C22" s="13" t="s">
        <v>211</v>
      </c>
      <c r="D22" s="16" t="s">
        <v>212</v>
      </c>
      <c r="E22" s="22" t="s">
        <v>213</v>
      </c>
      <c r="F22" s="17" t="s">
        <v>379</v>
      </c>
      <c r="G22" s="18">
        <v>43831</v>
      </c>
      <c r="H22" s="32">
        <v>82328.73</v>
      </c>
      <c r="I22" s="32">
        <v>-82328.73</v>
      </c>
      <c r="J22" s="52">
        <v>-82.328729999999993</v>
      </c>
      <c r="K22" s="19" t="s">
        <v>174</v>
      </c>
      <c r="L22" s="20" t="s">
        <v>374</v>
      </c>
      <c r="M22" s="35" t="s">
        <v>110</v>
      </c>
      <c r="N22" s="21" t="s">
        <v>220</v>
      </c>
      <c r="O22" s="21" t="s">
        <v>350</v>
      </c>
      <c r="P22" s="21" t="s">
        <v>214</v>
      </c>
      <c r="Q22" s="8" t="s">
        <v>375</v>
      </c>
    </row>
    <row r="23" spans="1:17">
      <c r="A23" s="15">
        <v>43831</v>
      </c>
      <c r="B23" s="45" t="s">
        <v>187</v>
      </c>
      <c r="C23" s="13" t="s">
        <v>211</v>
      </c>
      <c r="D23" s="16" t="s">
        <v>212</v>
      </c>
      <c r="E23" s="22" t="s">
        <v>213</v>
      </c>
      <c r="F23" s="17" t="s">
        <v>373</v>
      </c>
      <c r="G23" s="18">
        <v>43831</v>
      </c>
      <c r="H23" s="32">
        <v>751680</v>
      </c>
      <c r="I23" s="32">
        <v>-751680</v>
      </c>
      <c r="J23" s="52">
        <v>-751.68</v>
      </c>
      <c r="K23" s="19" t="s">
        <v>174</v>
      </c>
      <c r="L23" s="20" t="s">
        <v>374</v>
      </c>
      <c r="M23" s="35" t="s">
        <v>110</v>
      </c>
      <c r="N23" s="21" t="s">
        <v>220</v>
      </c>
      <c r="O23" s="21" t="s">
        <v>350</v>
      </c>
      <c r="P23" s="21" t="s">
        <v>214</v>
      </c>
      <c r="Q23" s="8" t="s">
        <v>375</v>
      </c>
    </row>
    <row r="24" spans="1:17">
      <c r="A24" s="15">
        <v>43831</v>
      </c>
      <c r="B24" s="45" t="s">
        <v>187</v>
      </c>
      <c r="C24" s="2" t="s">
        <v>324</v>
      </c>
      <c r="D24" s="16" t="s">
        <v>326</v>
      </c>
      <c r="E24" s="22" t="s">
        <v>327</v>
      </c>
      <c r="F24" s="17" t="s">
        <v>379</v>
      </c>
      <c r="G24" s="18">
        <v>43800</v>
      </c>
      <c r="H24" s="32">
        <v>19085.03</v>
      </c>
      <c r="I24" s="32">
        <v>-19085.03</v>
      </c>
      <c r="J24" s="52">
        <v>-19.08503</v>
      </c>
      <c r="K24" s="19" t="s">
        <v>174</v>
      </c>
      <c r="L24" s="20" t="s">
        <v>374</v>
      </c>
      <c r="M24" s="35" t="s">
        <v>108</v>
      </c>
      <c r="N24" s="21" t="s">
        <v>220</v>
      </c>
      <c r="O24" s="21" t="s">
        <v>350</v>
      </c>
      <c r="P24" s="21" t="s">
        <v>325</v>
      </c>
      <c r="Q24" s="8" t="s">
        <v>375</v>
      </c>
    </row>
    <row r="25" spans="1:17">
      <c r="A25" s="15">
        <v>43831</v>
      </c>
      <c r="B25" s="45" t="s">
        <v>187</v>
      </c>
      <c r="C25" s="2" t="s">
        <v>324</v>
      </c>
      <c r="D25" s="16" t="s">
        <v>326</v>
      </c>
      <c r="E25" s="22" t="s">
        <v>327</v>
      </c>
      <c r="F25" s="17" t="s">
        <v>373</v>
      </c>
      <c r="G25" s="18">
        <v>43800</v>
      </c>
      <c r="H25" s="32">
        <v>341919</v>
      </c>
      <c r="I25" s="32">
        <v>-341919</v>
      </c>
      <c r="J25" s="52">
        <v>-341.91899999999998</v>
      </c>
      <c r="K25" s="19" t="s">
        <v>174</v>
      </c>
      <c r="L25" s="20" t="s">
        <v>374</v>
      </c>
      <c r="M25" s="35" t="s">
        <v>108</v>
      </c>
      <c r="N25" s="21" t="s">
        <v>220</v>
      </c>
      <c r="O25" s="21" t="s">
        <v>350</v>
      </c>
      <c r="P25" s="21" t="s">
        <v>325</v>
      </c>
      <c r="Q25" s="8" t="s">
        <v>375</v>
      </c>
    </row>
    <row r="26" spans="1:17">
      <c r="A26" s="15">
        <v>43862</v>
      </c>
      <c r="B26" s="47" t="s">
        <v>187</v>
      </c>
      <c r="C26" s="2" t="s">
        <v>188</v>
      </c>
      <c r="D26" s="16" t="s">
        <v>189</v>
      </c>
      <c r="E26" s="22" t="s">
        <v>190</v>
      </c>
      <c r="F26" s="17" t="s">
        <v>379</v>
      </c>
      <c r="G26" s="18">
        <v>43862</v>
      </c>
      <c r="H26" s="33">
        <v>1764.34</v>
      </c>
      <c r="I26" s="33">
        <v>-1764.34</v>
      </c>
      <c r="J26" s="52">
        <v>-1.76434</v>
      </c>
      <c r="K26" s="19" t="s">
        <v>174</v>
      </c>
      <c r="L26" s="20" t="s">
        <v>374</v>
      </c>
      <c r="M26" s="35" t="s">
        <v>56</v>
      </c>
      <c r="N26" s="21" t="s">
        <v>191</v>
      </c>
      <c r="O26" s="21" t="s">
        <v>350</v>
      </c>
      <c r="P26" s="21" t="s">
        <v>192</v>
      </c>
      <c r="Q26" s="8" t="s">
        <v>375</v>
      </c>
    </row>
    <row r="27" spans="1:17">
      <c r="A27" s="15">
        <v>43862</v>
      </c>
      <c r="B27" s="47" t="s">
        <v>187</v>
      </c>
      <c r="C27" s="2" t="s">
        <v>188</v>
      </c>
      <c r="D27" s="16" t="s">
        <v>189</v>
      </c>
      <c r="E27" s="22" t="s">
        <v>190</v>
      </c>
      <c r="F27" s="17" t="s">
        <v>373</v>
      </c>
      <c r="G27" s="18">
        <v>43862</v>
      </c>
      <c r="H27" s="33">
        <v>232904.01</v>
      </c>
      <c r="I27" s="33">
        <v>-232904.01</v>
      </c>
      <c r="J27" s="52">
        <v>-232.90401</v>
      </c>
      <c r="K27" s="19" t="s">
        <v>174</v>
      </c>
      <c r="L27" s="20" t="s">
        <v>374</v>
      </c>
      <c r="M27" s="35" t="s">
        <v>56</v>
      </c>
      <c r="N27" s="21" t="s">
        <v>191</v>
      </c>
      <c r="O27" s="21" t="s">
        <v>350</v>
      </c>
      <c r="P27" s="21" t="s">
        <v>192</v>
      </c>
      <c r="Q27" s="8" t="s">
        <v>375</v>
      </c>
    </row>
    <row r="28" spans="1:17" hidden="1">
      <c r="A28" s="15">
        <v>43862</v>
      </c>
      <c r="B28" s="45" t="s">
        <v>226</v>
      </c>
      <c r="C28" s="45" t="s">
        <v>226</v>
      </c>
      <c r="D28" s="16" t="s">
        <v>250</v>
      </c>
      <c r="E28" s="22" t="s">
        <v>232</v>
      </c>
      <c r="F28" s="17" t="s">
        <v>379</v>
      </c>
      <c r="G28" s="18">
        <v>43862</v>
      </c>
      <c r="H28" s="33">
        <v>1076.51</v>
      </c>
      <c r="I28" s="33">
        <v>-1076.51</v>
      </c>
      <c r="J28" s="52">
        <v>-1.0765100000000001</v>
      </c>
      <c r="K28" s="19" t="s">
        <v>174</v>
      </c>
      <c r="L28" s="20" t="s">
        <v>374</v>
      </c>
      <c r="M28" s="35" t="s">
        <v>71</v>
      </c>
      <c r="N28" s="21" t="s">
        <v>220</v>
      </c>
      <c r="O28" s="21" t="s">
        <v>350</v>
      </c>
      <c r="P28" s="21" t="s">
        <v>251</v>
      </c>
      <c r="Q28" s="8" t="s">
        <v>375</v>
      </c>
    </row>
    <row r="29" spans="1:17" hidden="1">
      <c r="A29" s="15">
        <v>43862</v>
      </c>
      <c r="B29" s="45" t="s">
        <v>226</v>
      </c>
      <c r="C29" s="45" t="s">
        <v>226</v>
      </c>
      <c r="D29" s="16" t="s">
        <v>250</v>
      </c>
      <c r="E29" s="22" t="s">
        <v>232</v>
      </c>
      <c r="F29" s="17" t="s">
        <v>373</v>
      </c>
      <c r="G29" s="18">
        <v>43862</v>
      </c>
      <c r="H29" s="33">
        <v>113436.99</v>
      </c>
      <c r="I29" s="33">
        <v>-113436.99</v>
      </c>
      <c r="J29" s="52">
        <v>-113.43699000000001</v>
      </c>
      <c r="K29" s="19" t="s">
        <v>174</v>
      </c>
      <c r="L29" s="20" t="s">
        <v>374</v>
      </c>
      <c r="M29" s="35" t="s">
        <v>71</v>
      </c>
      <c r="N29" s="21" t="s">
        <v>220</v>
      </c>
      <c r="O29" s="21" t="s">
        <v>350</v>
      </c>
      <c r="P29" s="21" t="s">
        <v>251</v>
      </c>
      <c r="Q29" s="8" t="s">
        <v>375</v>
      </c>
    </row>
    <row r="30" spans="1:17">
      <c r="A30" s="15">
        <v>44013</v>
      </c>
      <c r="B30" s="45" t="s">
        <v>187</v>
      </c>
      <c r="C30" s="13" t="s">
        <v>240</v>
      </c>
      <c r="D30" s="16" t="s">
        <v>241</v>
      </c>
      <c r="E30" s="17" t="s">
        <v>242</v>
      </c>
      <c r="F30" s="17" t="s">
        <v>379</v>
      </c>
      <c r="G30" s="18">
        <v>44013</v>
      </c>
      <c r="H30" s="32">
        <v>15267.43</v>
      </c>
      <c r="I30" s="32">
        <v>-15267.43</v>
      </c>
      <c r="J30" s="52">
        <v>-15.267430000000001</v>
      </c>
      <c r="K30" s="19" t="s">
        <v>174</v>
      </c>
      <c r="L30" s="20" t="s">
        <v>374</v>
      </c>
      <c r="M30" s="35" t="s">
        <v>68</v>
      </c>
      <c r="N30" s="21" t="s">
        <v>243</v>
      </c>
      <c r="O30" s="21" t="s">
        <v>350</v>
      </c>
      <c r="P30" s="7" t="s">
        <v>244</v>
      </c>
      <c r="Q30" s="8" t="s">
        <v>375</v>
      </c>
    </row>
    <row r="31" spans="1:17">
      <c r="A31" s="15">
        <v>44013</v>
      </c>
      <c r="B31" s="45" t="s">
        <v>187</v>
      </c>
      <c r="C31" s="13" t="s">
        <v>240</v>
      </c>
      <c r="D31" s="16" t="s">
        <v>241</v>
      </c>
      <c r="E31" s="17" t="s">
        <v>242</v>
      </c>
      <c r="F31" s="17" t="s">
        <v>373</v>
      </c>
      <c r="G31" s="18">
        <v>44013</v>
      </c>
      <c r="H31" s="32">
        <v>1926106.41</v>
      </c>
      <c r="I31" s="32">
        <v>-1926106.41</v>
      </c>
      <c r="J31" s="52">
        <v>-1926.1064099999999</v>
      </c>
      <c r="K31" s="19" t="s">
        <v>174</v>
      </c>
      <c r="L31" s="20" t="s">
        <v>374</v>
      </c>
      <c r="M31" s="35" t="s">
        <v>68</v>
      </c>
      <c r="N31" s="21" t="s">
        <v>243</v>
      </c>
      <c r="O31" s="21" t="s">
        <v>350</v>
      </c>
      <c r="P31" s="7" t="s">
        <v>244</v>
      </c>
      <c r="Q31" s="8" t="s">
        <v>375</v>
      </c>
    </row>
    <row r="32" spans="1:17">
      <c r="A32" s="15">
        <v>44105</v>
      </c>
      <c r="B32" s="47" t="s">
        <v>187</v>
      </c>
      <c r="C32" s="2" t="s">
        <v>194</v>
      </c>
      <c r="D32" s="16" t="s">
        <v>195</v>
      </c>
      <c r="E32" s="22" t="s">
        <v>186</v>
      </c>
      <c r="F32" s="17" t="s">
        <v>379</v>
      </c>
      <c r="G32" s="18">
        <v>44105</v>
      </c>
      <c r="H32" s="32">
        <v>979920.93</v>
      </c>
      <c r="I32" s="32">
        <v>-979920.93</v>
      </c>
      <c r="J32" s="52">
        <v>-979.92093</v>
      </c>
      <c r="K32" s="19" t="s">
        <v>174</v>
      </c>
      <c r="L32" s="20" t="s">
        <v>374</v>
      </c>
      <c r="M32" s="35" t="s">
        <v>57</v>
      </c>
      <c r="N32" s="21" t="s">
        <v>196</v>
      </c>
      <c r="O32" s="21" t="s">
        <v>196</v>
      </c>
      <c r="P32" s="21" t="s">
        <v>197</v>
      </c>
      <c r="Q32" s="8" t="s">
        <v>375</v>
      </c>
    </row>
    <row r="33" spans="1:17">
      <c r="A33" s="15">
        <v>44105</v>
      </c>
      <c r="B33" s="47" t="s">
        <v>187</v>
      </c>
      <c r="C33" s="2" t="s">
        <v>194</v>
      </c>
      <c r="D33" s="16" t="s">
        <v>195</v>
      </c>
      <c r="E33" s="22" t="s">
        <v>186</v>
      </c>
      <c r="F33" s="17" t="s">
        <v>373</v>
      </c>
      <c r="G33" s="18">
        <v>44105</v>
      </c>
      <c r="H33" s="32">
        <v>242491</v>
      </c>
      <c r="I33" s="32">
        <v>-242491</v>
      </c>
      <c r="J33" s="52">
        <v>-242.49100000000001</v>
      </c>
      <c r="K33" s="19" t="s">
        <v>174</v>
      </c>
      <c r="L33" s="20" t="s">
        <v>374</v>
      </c>
      <c r="M33" s="35" t="s">
        <v>57</v>
      </c>
      <c r="N33" s="21" t="s">
        <v>196</v>
      </c>
      <c r="O33" s="21" t="s">
        <v>196</v>
      </c>
      <c r="P33" s="21" t="s">
        <v>197</v>
      </c>
      <c r="Q33" s="8" t="s">
        <v>375</v>
      </c>
    </row>
    <row r="34" spans="1:17" hidden="1">
      <c r="A34" s="15">
        <v>44136</v>
      </c>
      <c r="B34" s="45" t="s">
        <v>252</v>
      </c>
      <c r="C34" s="2" t="s">
        <v>252</v>
      </c>
      <c r="D34" s="16" t="s">
        <v>253</v>
      </c>
      <c r="E34" s="22" t="s">
        <v>254</v>
      </c>
      <c r="F34" s="17" t="s">
        <v>379</v>
      </c>
      <c r="G34" s="18">
        <v>44136</v>
      </c>
      <c r="H34" s="33">
        <v>57616.11</v>
      </c>
      <c r="I34" s="33">
        <v>-57616.11</v>
      </c>
      <c r="J34" s="52">
        <v>-57.616109999999999</v>
      </c>
      <c r="K34" s="23">
        <v>44161</v>
      </c>
      <c r="L34" s="20" t="s">
        <v>374</v>
      </c>
      <c r="M34" s="35" t="s">
        <v>109</v>
      </c>
      <c r="N34" s="21" t="s">
        <v>237</v>
      </c>
      <c r="O34" s="21" t="s">
        <v>350</v>
      </c>
      <c r="P34" s="21" t="s">
        <v>255</v>
      </c>
      <c r="Q34" s="8" t="s">
        <v>375</v>
      </c>
    </row>
    <row r="35" spans="1:17" hidden="1">
      <c r="A35" s="15">
        <v>44136</v>
      </c>
      <c r="B35" s="45" t="s">
        <v>252</v>
      </c>
      <c r="C35" s="2" t="s">
        <v>252</v>
      </c>
      <c r="D35" s="16" t="s">
        <v>253</v>
      </c>
      <c r="E35" s="22" t="s">
        <v>254</v>
      </c>
      <c r="F35" s="17" t="s">
        <v>379</v>
      </c>
      <c r="G35" s="18">
        <v>44136</v>
      </c>
      <c r="H35" s="33">
        <v>31238.44</v>
      </c>
      <c r="I35" s="33">
        <v>-31238.44</v>
      </c>
      <c r="J35" s="52">
        <v>-31.238439999999997</v>
      </c>
      <c r="K35" s="23">
        <v>44161</v>
      </c>
      <c r="L35" s="20" t="s">
        <v>374</v>
      </c>
      <c r="M35" s="35" t="s">
        <v>73</v>
      </c>
      <c r="N35" s="21" t="s">
        <v>229</v>
      </c>
      <c r="O35" s="21" t="s">
        <v>350</v>
      </c>
      <c r="P35" s="21" t="s">
        <v>255</v>
      </c>
      <c r="Q35" s="8" t="s">
        <v>375</v>
      </c>
    </row>
    <row r="36" spans="1:17" hidden="1">
      <c r="A36" s="15">
        <v>44136</v>
      </c>
      <c r="B36" s="45" t="s">
        <v>252</v>
      </c>
      <c r="C36" s="2" t="s">
        <v>252</v>
      </c>
      <c r="D36" s="16" t="s">
        <v>253</v>
      </c>
      <c r="E36" s="22" t="s">
        <v>254</v>
      </c>
      <c r="F36" s="17" t="s">
        <v>373</v>
      </c>
      <c r="G36" s="18">
        <v>44136</v>
      </c>
      <c r="H36" s="33">
        <v>23347934.52</v>
      </c>
      <c r="I36" s="33">
        <v>-23347934.52</v>
      </c>
      <c r="J36" s="52">
        <v>-23347.934519999999</v>
      </c>
      <c r="K36" s="23">
        <v>44161</v>
      </c>
      <c r="L36" s="20" t="s">
        <v>374</v>
      </c>
      <c r="M36" s="35" t="s">
        <v>109</v>
      </c>
      <c r="N36" s="21" t="s">
        <v>237</v>
      </c>
      <c r="O36" s="21" t="s">
        <v>350</v>
      </c>
      <c r="P36" s="21" t="s">
        <v>255</v>
      </c>
      <c r="Q36" s="8" t="s">
        <v>375</v>
      </c>
    </row>
    <row r="37" spans="1:17" hidden="1">
      <c r="A37" s="15">
        <v>44136</v>
      </c>
      <c r="B37" s="45" t="s">
        <v>252</v>
      </c>
      <c r="C37" s="2" t="s">
        <v>252</v>
      </c>
      <c r="D37" s="16" t="s">
        <v>253</v>
      </c>
      <c r="E37" s="22" t="s">
        <v>254</v>
      </c>
      <c r="F37" s="17" t="s">
        <v>373</v>
      </c>
      <c r="G37" s="18">
        <v>44136</v>
      </c>
      <c r="H37" s="33">
        <v>12658839.130000001</v>
      </c>
      <c r="I37" s="33">
        <v>-12658839.130000001</v>
      </c>
      <c r="J37" s="52">
        <v>-12658.83913</v>
      </c>
      <c r="K37" s="23">
        <v>44161</v>
      </c>
      <c r="L37" s="20" t="s">
        <v>374</v>
      </c>
      <c r="M37" s="35" t="s">
        <v>73</v>
      </c>
      <c r="N37" s="21" t="s">
        <v>229</v>
      </c>
      <c r="O37" s="21" t="s">
        <v>350</v>
      </c>
      <c r="P37" s="21" t="s">
        <v>255</v>
      </c>
      <c r="Q37" s="8" t="s">
        <v>375</v>
      </c>
    </row>
    <row r="38" spans="1:17">
      <c r="A38" s="15">
        <v>44197</v>
      </c>
      <c r="B38" s="45" t="s">
        <v>187</v>
      </c>
      <c r="C38" s="13" t="s">
        <v>240</v>
      </c>
      <c r="D38" s="16" t="s">
        <v>241</v>
      </c>
      <c r="E38" s="17" t="s">
        <v>242</v>
      </c>
      <c r="F38" s="17" t="s">
        <v>379</v>
      </c>
      <c r="G38" s="18">
        <v>44197</v>
      </c>
      <c r="H38" s="33">
        <v>22186.81</v>
      </c>
      <c r="I38" s="33">
        <v>-22186.81</v>
      </c>
      <c r="J38" s="52">
        <v>-22.186810000000001</v>
      </c>
      <c r="K38" s="23">
        <v>44221</v>
      </c>
      <c r="L38" s="20" t="s">
        <v>374</v>
      </c>
      <c r="M38" s="36" t="s">
        <v>111</v>
      </c>
      <c r="N38" s="14" t="s">
        <v>314</v>
      </c>
      <c r="O38" s="21" t="s">
        <v>350</v>
      </c>
      <c r="P38" s="7" t="s">
        <v>244</v>
      </c>
      <c r="Q38" s="8" t="s">
        <v>375</v>
      </c>
    </row>
    <row r="39" spans="1:17">
      <c r="A39" s="15">
        <v>44197</v>
      </c>
      <c r="B39" s="45" t="s">
        <v>187</v>
      </c>
      <c r="C39" s="13" t="s">
        <v>240</v>
      </c>
      <c r="D39" s="16" t="s">
        <v>241</v>
      </c>
      <c r="E39" s="17" t="s">
        <v>242</v>
      </c>
      <c r="F39" s="17" t="s">
        <v>373</v>
      </c>
      <c r="G39" s="18">
        <v>44197</v>
      </c>
      <c r="H39" s="33">
        <v>21207699.52</v>
      </c>
      <c r="I39" s="33">
        <v>-21207699.52</v>
      </c>
      <c r="J39" s="52">
        <v>-21207.699519999998</v>
      </c>
      <c r="K39" s="23">
        <v>44221</v>
      </c>
      <c r="L39" s="20" t="s">
        <v>374</v>
      </c>
      <c r="M39" s="36" t="s">
        <v>111</v>
      </c>
      <c r="N39" s="14" t="s">
        <v>314</v>
      </c>
      <c r="O39" s="21" t="s">
        <v>350</v>
      </c>
      <c r="P39" s="7" t="s">
        <v>244</v>
      </c>
      <c r="Q39" s="8" t="s">
        <v>375</v>
      </c>
    </row>
    <row r="40" spans="1:17">
      <c r="A40" s="15">
        <v>44256</v>
      </c>
      <c r="B40" s="45" t="s">
        <v>187</v>
      </c>
      <c r="C40" s="13" t="s">
        <v>211</v>
      </c>
      <c r="D40" s="16" t="s">
        <v>212</v>
      </c>
      <c r="E40" s="17" t="s">
        <v>213</v>
      </c>
      <c r="F40" s="17" t="s">
        <v>379</v>
      </c>
      <c r="G40" s="18">
        <v>44256</v>
      </c>
      <c r="H40" s="33">
        <v>114157.84</v>
      </c>
      <c r="I40" s="33">
        <v>-114157.84</v>
      </c>
      <c r="J40" s="52">
        <v>-114.15783999999999</v>
      </c>
      <c r="K40" s="23">
        <v>44256</v>
      </c>
      <c r="L40" s="20" t="s">
        <v>374</v>
      </c>
      <c r="M40" s="36" t="s">
        <v>115</v>
      </c>
      <c r="N40" s="14" t="s">
        <v>380</v>
      </c>
      <c r="O40" s="21" t="s">
        <v>350</v>
      </c>
      <c r="P40" s="21" t="s">
        <v>214</v>
      </c>
      <c r="Q40" s="8" t="s">
        <v>375</v>
      </c>
    </row>
    <row r="41" spans="1:17">
      <c r="A41" s="15">
        <v>44256</v>
      </c>
      <c r="B41" s="45" t="s">
        <v>187</v>
      </c>
      <c r="C41" s="13" t="s">
        <v>211</v>
      </c>
      <c r="D41" s="16" t="s">
        <v>212</v>
      </c>
      <c r="E41" s="17" t="s">
        <v>213</v>
      </c>
      <c r="F41" s="17" t="s">
        <v>379</v>
      </c>
      <c r="G41" s="18">
        <v>44256</v>
      </c>
      <c r="H41" s="33">
        <v>161467.54</v>
      </c>
      <c r="I41" s="33">
        <v>-161467.54</v>
      </c>
      <c r="J41" s="52">
        <v>-161.46754000000001</v>
      </c>
      <c r="K41" s="23">
        <v>44256</v>
      </c>
      <c r="L41" s="20" t="s">
        <v>374</v>
      </c>
      <c r="M41" s="36" t="s">
        <v>95</v>
      </c>
      <c r="N41" s="21" t="s">
        <v>229</v>
      </c>
      <c r="O41" s="21" t="s">
        <v>350</v>
      </c>
      <c r="P41" s="21" t="s">
        <v>214</v>
      </c>
      <c r="Q41" s="8" t="s">
        <v>375</v>
      </c>
    </row>
    <row r="42" spans="1:17">
      <c r="A42" s="15">
        <v>44256</v>
      </c>
      <c r="B42" s="45" t="s">
        <v>187</v>
      </c>
      <c r="C42" s="13" t="s">
        <v>211</v>
      </c>
      <c r="D42" s="16" t="s">
        <v>212</v>
      </c>
      <c r="E42" s="17" t="s">
        <v>213</v>
      </c>
      <c r="F42" s="17" t="s">
        <v>373</v>
      </c>
      <c r="G42" s="18">
        <v>44256</v>
      </c>
      <c r="H42" s="33">
        <v>874368</v>
      </c>
      <c r="I42" s="33">
        <v>-874368</v>
      </c>
      <c r="J42" s="52">
        <v>-874.36800000000005</v>
      </c>
      <c r="K42" s="23">
        <v>44256</v>
      </c>
      <c r="L42" s="20" t="s">
        <v>374</v>
      </c>
      <c r="M42" s="36" t="s">
        <v>115</v>
      </c>
      <c r="N42" s="14" t="s">
        <v>380</v>
      </c>
      <c r="O42" s="21" t="s">
        <v>350</v>
      </c>
      <c r="P42" s="21" t="s">
        <v>214</v>
      </c>
      <c r="Q42" s="8" t="s">
        <v>375</v>
      </c>
    </row>
    <row r="43" spans="1:17">
      <c r="A43" s="15">
        <v>44256</v>
      </c>
      <c r="B43" s="45" t="s">
        <v>187</v>
      </c>
      <c r="C43" s="13" t="s">
        <v>211</v>
      </c>
      <c r="D43" s="16" t="s">
        <v>212</v>
      </c>
      <c r="E43" s="17" t="s">
        <v>213</v>
      </c>
      <c r="F43" s="17" t="s">
        <v>373</v>
      </c>
      <c r="G43" s="18">
        <v>44256</v>
      </c>
      <c r="H43" s="33">
        <v>3541685</v>
      </c>
      <c r="I43" s="33">
        <v>-3541685</v>
      </c>
      <c r="J43" s="52">
        <v>-3541.6849999999999</v>
      </c>
      <c r="K43" s="23">
        <v>44256</v>
      </c>
      <c r="L43" s="20" t="s">
        <v>374</v>
      </c>
      <c r="M43" s="36" t="s">
        <v>95</v>
      </c>
      <c r="N43" s="21" t="s">
        <v>229</v>
      </c>
      <c r="O43" s="21" t="s">
        <v>350</v>
      </c>
      <c r="P43" s="21" t="s">
        <v>214</v>
      </c>
      <c r="Q43" s="8" t="s">
        <v>375</v>
      </c>
    </row>
    <row r="44" spans="1:17" hidden="1">
      <c r="A44" s="15">
        <v>44562</v>
      </c>
      <c r="B44" s="47" t="s">
        <v>226</v>
      </c>
      <c r="C44" s="2" t="s">
        <v>313</v>
      </c>
      <c r="D44" s="16" t="s">
        <v>332</v>
      </c>
      <c r="E44" s="22" t="s">
        <v>333</v>
      </c>
      <c r="F44" s="17" t="s">
        <v>373</v>
      </c>
      <c r="G44" s="18">
        <v>44562</v>
      </c>
      <c r="H44" s="33">
        <v>91762776.989999995</v>
      </c>
      <c r="I44" s="33">
        <v>-91762776.989999995</v>
      </c>
      <c r="J44" s="52">
        <v>-91762.776989999998</v>
      </c>
      <c r="K44" s="23">
        <v>44589</v>
      </c>
      <c r="L44" s="20" t="s">
        <v>374</v>
      </c>
      <c r="M44" s="35" t="s">
        <v>90</v>
      </c>
      <c r="N44" s="14" t="s">
        <v>314</v>
      </c>
      <c r="O44" s="21" t="s">
        <v>350</v>
      </c>
      <c r="P44" s="21" t="s">
        <v>315</v>
      </c>
      <c r="Q44" s="8" t="s">
        <v>375</v>
      </c>
    </row>
    <row r="45" spans="1:17" hidden="1">
      <c r="A45" s="15">
        <v>44562</v>
      </c>
      <c r="B45" s="47" t="s">
        <v>226</v>
      </c>
      <c r="C45" s="2" t="s">
        <v>313</v>
      </c>
      <c r="D45" s="16" t="s">
        <v>332</v>
      </c>
      <c r="E45" s="22" t="s">
        <v>333</v>
      </c>
      <c r="F45" s="17" t="s">
        <v>376</v>
      </c>
      <c r="G45" s="18">
        <v>44562</v>
      </c>
      <c r="H45" s="33">
        <v>479464.89</v>
      </c>
      <c r="I45" s="33">
        <v>-479464.89</v>
      </c>
      <c r="J45" s="52">
        <v>-479.46489000000003</v>
      </c>
      <c r="K45" s="23">
        <v>44589</v>
      </c>
      <c r="L45" s="20" t="s">
        <v>374</v>
      </c>
      <c r="M45" s="35" t="s">
        <v>90</v>
      </c>
      <c r="N45" s="14" t="s">
        <v>314</v>
      </c>
      <c r="O45" s="21" t="s">
        <v>350</v>
      </c>
      <c r="P45" s="21" t="s">
        <v>315</v>
      </c>
      <c r="Q45" s="8" t="s">
        <v>375</v>
      </c>
    </row>
    <row r="46" spans="1:17">
      <c r="A46" s="15">
        <v>44593</v>
      </c>
      <c r="B46" s="45" t="s">
        <v>187</v>
      </c>
      <c r="C46" s="13" t="s">
        <v>211</v>
      </c>
      <c r="D46" s="16" t="s">
        <v>212</v>
      </c>
      <c r="E46" s="22" t="s">
        <v>213</v>
      </c>
      <c r="F46" s="17" t="s">
        <v>373</v>
      </c>
      <c r="G46" s="18">
        <v>44593</v>
      </c>
      <c r="H46" s="32">
        <v>24383342.969999999</v>
      </c>
      <c r="I46" s="32">
        <v>-24383342.969999999</v>
      </c>
      <c r="J46" s="52">
        <v>-24383.342969999998</v>
      </c>
      <c r="K46" s="23">
        <v>44613</v>
      </c>
      <c r="L46" s="20" t="s">
        <v>374</v>
      </c>
      <c r="M46" s="35" t="s">
        <v>62</v>
      </c>
      <c r="N46" s="21" t="s">
        <v>208</v>
      </c>
      <c r="O46" s="21" t="s">
        <v>350</v>
      </c>
      <c r="P46" s="21" t="s">
        <v>214</v>
      </c>
      <c r="Q46" s="8" t="s">
        <v>375</v>
      </c>
    </row>
    <row r="47" spans="1:17">
      <c r="A47" s="15">
        <v>44593</v>
      </c>
      <c r="B47" s="45" t="s">
        <v>187</v>
      </c>
      <c r="C47" s="13" t="s">
        <v>211</v>
      </c>
      <c r="D47" s="16" t="s">
        <v>212</v>
      </c>
      <c r="E47" s="22" t="s">
        <v>213</v>
      </c>
      <c r="F47" s="17" t="s">
        <v>373</v>
      </c>
      <c r="G47" s="18">
        <v>44593</v>
      </c>
      <c r="H47" s="32">
        <v>11902082.029999999</v>
      </c>
      <c r="I47" s="32">
        <f>-H47</f>
        <v>-11902082.029999999</v>
      </c>
      <c r="J47" s="52">
        <f>I47/1000</f>
        <v>-11902.08203</v>
      </c>
      <c r="K47" s="23">
        <v>44613</v>
      </c>
      <c r="L47" s="20" t="s">
        <v>246</v>
      </c>
      <c r="M47" s="35" t="s">
        <v>62</v>
      </c>
      <c r="N47" s="21" t="s">
        <v>381</v>
      </c>
      <c r="O47" s="21" t="s">
        <v>350</v>
      </c>
      <c r="P47" s="21" t="s">
        <v>214</v>
      </c>
      <c r="Q47" s="8" t="s">
        <v>375</v>
      </c>
    </row>
    <row r="48" spans="1:17">
      <c r="A48" s="15">
        <v>44593</v>
      </c>
      <c r="B48" s="45" t="s">
        <v>187</v>
      </c>
      <c r="C48" s="13" t="s">
        <v>211</v>
      </c>
      <c r="D48" s="16" t="s">
        <v>212</v>
      </c>
      <c r="E48" s="22" t="s">
        <v>213</v>
      </c>
      <c r="F48" s="17" t="s">
        <v>376</v>
      </c>
      <c r="G48" s="18">
        <v>44593</v>
      </c>
      <c r="H48" s="32">
        <v>541339.21</v>
      </c>
      <c r="I48" s="32">
        <v>-541339.21</v>
      </c>
      <c r="J48" s="52">
        <v>-541.33920999999998</v>
      </c>
      <c r="K48" s="23">
        <v>44613</v>
      </c>
      <c r="L48" s="20" t="s">
        <v>374</v>
      </c>
      <c r="M48" s="35" t="s">
        <v>62</v>
      </c>
      <c r="N48" s="21" t="s">
        <v>208</v>
      </c>
      <c r="O48" s="21" t="s">
        <v>350</v>
      </c>
      <c r="P48" s="21" t="s">
        <v>214</v>
      </c>
      <c r="Q48" s="8" t="s">
        <v>375</v>
      </c>
    </row>
    <row r="49" spans="1:17">
      <c r="A49" s="15">
        <v>44593</v>
      </c>
      <c r="B49" s="45" t="s">
        <v>187</v>
      </c>
      <c r="C49" s="13" t="s">
        <v>211</v>
      </c>
      <c r="D49" s="16" t="s">
        <v>212</v>
      </c>
      <c r="E49" s="22" t="s">
        <v>213</v>
      </c>
      <c r="F49" s="17" t="s">
        <v>379</v>
      </c>
      <c r="G49" s="18">
        <v>44593</v>
      </c>
      <c r="H49" s="32">
        <v>26594.639999999999</v>
      </c>
      <c r="I49" s="32">
        <v>-26594.639999999999</v>
      </c>
      <c r="J49" s="52">
        <v>-26.594639999999998</v>
      </c>
      <c r="K49" s="23">
        <v>44616</v>
      </c>
      <c r="L49" s="20" t="s">
        <v>374</v>
      </c>
      <c r="M49" s="35" t="s">
        <v>62</v>
      </c>
      <c r="N49" s="21" t="s">
        <v>208</v>
      </c>
      <c r="O49" s="21" t="s">
        <v>350</v>
      </c>
      <c r="P49" s="21" t="s">
        <v>214</v>
      </c>
      <c r="Q49" s="8" t="s">
        <v>375</v>
      </c>
    </row>
    <row r="50" spans="1:17">
      <c r="A50" s="15">
        <v>44593</v>
      </c>
      <c r="B50" s="45" t="s">
        <v>187</v>
      </c>
      <c r="C50" s="13" t="s">
        <v>211</v>
      </c>
      <c r="D50" s="16" t="s">
        <v>212</v>
      </c>
      <c r="E50" s="22" t="s">
        <v>213</v>
      </c>
      <c r="F50" s="17" t="s">
        <v>382</v>
      </c>
      <c r="G50" s="18">
        <v>44593</v>
      </c>
      <c r="H50" s="32">
        <v>498493.64</v>
      </c>
      <c r="I50" s="32">
        <v>-498493.64</v>
      </c>
      <c r="J50" s="52">
        <v>-498.49364000000003</v>
      </c>
      <c r="K50" s="23">
        <v>44616</v>
      </c>
      <c r="L50" s="20" t="s">
        <v>374</v>
      </c>
      <c r="M50" s="35" t="s">
        <v>62</v>
      </c>
      <c r="N50" s="21" t="s">
        <v>208</v>
      </c>
      <c r="O50" s="21" t="s">
        <v>350</v>
      </c>
      <c r="P50" s="21" t="s">
        <v>214</v>
      </c>
      <c r="Q50" s="8" t="s">
        <v>375</v>
      </c>
    </row>
    <row r="51" spans="1:17" hidden="1">
      <c r="A51" s="15">
        <v>44593</v>
      </c>
      <c r="B51" s="45" t="s">
        <v>233</v>
      </c>
      <c r="C51" s="13" t="s">
        <v>234</v>
      </c>
      <c r="D51" s="16" t="s">
        <v>235</v>
      </c>
      <c r="E51" s="22" t="s">
        <v>236</v>
      </c>
      <c r="F51" s="17" t="s">
        <v>373</v>
      </c>
      <c r="G51" s="18">
        <v>44562</v>
      </c>
      <c r="H51" s="32">
        <v>23272781.149999999</v>
      </c>
      <c r="I51" s="32">
        <v>-23272781.149999999</v>
      </c>
      <c r="J51" s="52">
        <v>-23272.781149999999</v>
      </c>
      <c r="K51" s="23">
        <v>44595</v>
      </c>
      <c r="L51" s="20" t="s">
        <v>374</v>
      </c>
      <c r="M51" s="35" t="s">
        <v>67</v>
      </c>
      <c r="N51" s="21" t="s">
        <v>237</v>
      </c>
      <c r="O51" s="21" t="s">
        <v>350</v>
      </c>
      <c r="P51" s="21" t="s">
        <v>238</v>
      </c>
      <c r="Q51" s="8" t="s">
        <v>375</v>
      </c>
    </row>
    <row r="52" spans="1:17" hidden="1">
      <c r="A52" s="15">
        <v>44593</v>
      </c>
      <c r="B52" s="45" t="s">
        <v>233</v>
      </c>
      <c r="C52" s="13" t="s">
        <v>234</v>
      </c>
      <c r="D52" s="16" t="s">
        <v>235</v>
      </c>
      <c r="E52" s="22" t="s">
        <v>236</v>
      </c>
      <c r="F52" s="17" t="s">
        <v>376</v>
      </c>
      <c r="G52" s="18">
        <v>44562</v>
      </c>
      <c r="H52" s="32">
        <v>178565.95</v>
      </c>
      <c r="I52" s="32">
        <v>-178565.95</v>
      </c>
      <c r="J52" s="52">
        <v>-178.56595000000002</v>
      </c>
      <c r="K52" s="23">
        <v>44595</v>
      </c>
      <c r="L52" s="20" t="s">
        <v>374</v>
      </c>
      <c r="M52" s="35" t="s">
        <v>67</v>
      </c>
      <c r="N52" s="21" t="s">
        <v>237</v>
      </c>
      <c r="O52" s="21" t="s">
        <v>350</v>
      </c>
      <c r="P52" s="21" t="s">
        <v>238</v>
      </c>
      <c r="Q52" s="8" t="s">
        <v>375</v>
      </c>
    </row>
    <row r="53" spans="1:17">
      <c r="A53" s="15">
        <v>44621</v>
      </c>
      <c r="B53" s="45" t="s">
        <v>187</v>
      </c>
      <c r="C53" s="2" t="s">
        <v>328</v>
      </c>
      <c r="D53" s="16" t="s">
        <v>341</v>
      </c>
      <c r="E53" s="22" t="s">
        <v>342</v>
      </c>
      <c r="F53" s="17" t="s">
        <v>373</v>
      </c>
      <c r="G53" s="18">
        <v>44593</v>
      </c>
      <c r="H53" s="32">
        <v>588267</v>
      </c>
      <c r="I53" s="32">
        <v>-588267</v>
      </c>
      <c r="J53" s="52">
        <v>-588.26700000000005</v>
      </c>
      <c r="K53" s="23">
        <v>44634</v>
      </c>
      <c r="L53" s="20" t="s">
        <v>374</v>
      </c>
      <c r="M53" s="35" t="s">
        <v>113</v>
      </c>
      <c r="N53" s="21" t="s">
        <v>208</v>
      </c>
      <c r="O53" s="21" t="s">
        <v>350</v>
      </c>
      <c r="P53" s="21" t="s">
        <v>329</v>
      </c>
      <c r="Q53" s="8" t="s">
        <v>375</v>
      </c>
    </row>
    <row r="54" spans="1:17">
      <c r="A54" s="15">
        <v>44621</v>
      </c>
      <c r="B54" s="45" t="s">
        <v>187</v>
      </c>
      <c r="C54" s="2" t="s">
        <v>328</v>
      </c>
      <c r="D54" s="16" t="s">
        <v>341</v>
      </c>
      <c r="E54" s="22" t="s">
        <v>342</v>
      </c>
      <c r="F54" s="17" t="s">
        <v>376</v>
      </c>
      <c r="G54" s="18">
        <v>44593</v>
      </c>
      <c r="H54" s="32">
        <v>27735.38</v>
      </c>
      <c r="I54" s="32">
        <v>-27735.38</v>
      </c>
      <c r="J54" s="52">
        <v>-27.735379999999999</v>
      </c>
      <c r="K54" s="23">
        <v>44634</v>
      </c>
      <c r="L54" s="20" t="s">
        <v>374</v>
      </c>
      <c r="M54" s="35" t="s">
        <v>113</v>
      </c>
      <c r="N54" s="21" t="s">
        <v>208</v>
      </c>
      <c r="O54" s="21" t="s">
        <v>350</v>
      </c>
      <c r="P54" s="21" t="s">
        <v>329</v>
      </c>
      <c r="Q54" s="8" t="s">
        <v>375</v>
      </c>
    </row>
    <row r="55" spans="1:17" hidden="1">
      <c r="A55" s="15">
        <v>44682</v>
      </c>
      <c r="B55" s="45" t="s">
        <v>198</v>
      </c>
      <c r="C55" s="2" t="s">
        <v>205</v>
      </c>
      <c r="D55" s="16" t="s">
        <v>206</v>
      </c>
      <c r="E55" s="22" t="s">
        <v>207</v>
      </c>
      <c r="F55" s="17" t="s">
        <v>373</v>
      </c>
      <c r="G55" s="18">
        <v>44652</v>
      </c>
      <c r="H55" s="32">
        <v>4300820.82</v>
      </c>
      <c r="I55" s="32">
        <v>-4300820.82</v>
      </c>
      <c r="J55" s="52">
        <v>-4300.8208199999999</v>
      </c>
      <c r="K55" s="23">
        <v>44688</v>
      </c>
      <c r="L55" s="20" t="s">
        <v>374</v>
      </c>
      <c r="M55" s="35" t="s">
        <v>60</v>
      </c>
      <c r="N55" s="21" t="s">
        <v>208</v>
      </c>
      <c r="O55" s="21" t="s">
        <v>350</v>
      </c>
      <c r="P55" s="21" t="s">
        <v>209</v>
      </c>
      <c r="Q55" s="8" t="s">
        <v>375</v>
      </c>
    </row>
    <row r="56" spans="1:17" hidden="1">
      <c r="A56" s="15">
        <v>44682</v>
      </c>
      <c r="B56" s="45" t="s">
        <v>198</v>
      </c>
      <c r="C56" s="2" t="s">
        <v>205</v>
      </c>
      <c r="D56" s="16" t="s">
        <v>206</v>
      </c>
      <c r="E56" s="22" t="s">
        <v>207</v>
      </c>
      <c r="F56" s="17" t="s">
        <v>376</v>
      </c>
      <c r="G56" s="18">
        <v>44652</v>
      </c>
      <c r="H56" s="32">
        <v>54577.37</v>
      </c>
      <c r="I56" s="32">
        <v>-54577.37</v>
      </c>
      <c r="J56" s="52">
        <v>-54.577370000000002</v>
      </c>
      <c r="K56" s="23">
        <v>44688</v>
      </c>
      <c r="L56" s="20" t="s">
        <v>374</v>
      </c>
      <c r="M56" s="35" t="s">
        <v>60</v>
      </c>
      <c r="N56" s="21" t="s">
        <v>208</v>
      </c>
      <c r="O56" s="21" t="s">
        <v>350</v>
      </c>
      <c r="P56" s="21" t="s">
        <v>209</v>
      </c>
      <c r="Q56" s="8" t="s">
        <v>375</v>
      </c>
    </row>
    <row r="57" spans="1:17" hidden="1">
      <c r="A57" s="15">
        <v>44682</v>
      </c>
      <c r="B57" s="47" t="s">
        <v>226</v>
      </c>
      <c r="C57" s="2" t="s">
        <v>313</v>
      </c>
      <c r="D57" s="16" t="s">
        <v>332</v>
      </c>
      <c r="E57" s="22" t="s">
        <v>333</v>
      </c>
      <c r="F57" s="17" t="s">
        <v>373</v>
      </c>
      <c r="G57" s="18">
        <v>44652</v>
      </c>
      <c r="H57" s="32">
        <v>3306321.4</v>
      </c>
      <c r="I57" s="32">
        <v>-3306321.4</v>
      </c>
      <c r="J57" s="52">
        <v>-3306.3213999999998</v>
      </c>
      <c r="K57" s="23">
        <v>44683</v>
      </c>
      <c r="L57" s="20" t="s">
        <v>374</v>
      </c>
      <c r="M57" s="35" t="s">
        <v>103</v>
      </c>
      <c r="N57" s="21" t="s">
        <v>320</v>
      </c>
      <c r="O57" s="21" t="s">
        <v>350</v>
      </c>
      <c r="P57" s="21" t="s">
        <v>315</v>
      </c>
      <c r="Q57" s="8" t="s">
        <v>375</v>
      </c>
    </row>
    <row r="58" spans="1:17" hidden="1">
      <c r="A58" s="15">
        <v>44682</v>
      </c>
      <c r="B58" s="47" t="s">
        <v>226</v>
      </c>
      <c r="C58" s="2" t="s">
        <v>313</v>
      </c>
      <c r="D58" s="16" t="s">
        <v>332</v>
      </c>
      <c r="E58" s="22" t="s">
        <v>333</v>
      </c>
      <c r="F58" s="17" t="s">
        <v>376</v>
      </c>
      <c r="G58" s="18">
        <v>44652</v>
      </c>
      <c r="H58" s="32">
        <v>97551.28</v>
      </c>
      <c r="I58" s="32">
        <v>-97551.28</v>
      </c>
      <c r="J58" s="52">
        <v>-97.551280000000006</v>
      </c>
      <c r="K58" s="23">
        <v>44683</v>
      </c>
      <c r="L58" s="20" t="s">
        <v>374</v>
      </c>
      <c r="M58" s="35" t="s">
        <v>103</v>
      </c>
      <c r="N58" s="21" t="s">
        <v>320</v>
      </c>
      <c r="O58" s="21" t="s">
        <v>350</v>
      </c>
      <c r="P58" s="21" t="s">
        <v>315</v>
      </c>
      <c r="Q58" s="8" t="s">
        <v>375</v>
      </c>
    </row>
    <row r="59" spans="1:17">
      <c r="A59" s="15">
        <v>44774</v>
      </c>
      <c r="B59" s="45" t="s">
        <v>187</v>
      </c>
      <c r="C59" s="2" t="s">
        <v>324</v>
      </c>
      <c r="D59" s="16" t="s">
        <v>326</v>
      </c>
      <c r="E59" s="22" t="s">
        <v>327</v>
      </c>
      <c r="F59" s="17" t="s">
        <v>373</v>
      </c>
      <c r="G59" s="18">
        <v>44774</v>
      </c>
      <c r="H59" s="32">
        <v>36677828.229999997</v>
      </c>
      <c r="I59" s="32">
        <v>-36677828.229999997</v>
      </c>
      <c r="J59" s="52">
        <v>-36677.828229999999</v>
      </c>
      <c r="K59" s="23">
        <v>44801</v>
      </c>
      <c r="L59" s="20" t="s">
        <v>374</v>
      </c>
      <c r="M59" s="35" t="s">
        <v>107</v>
      </c>
      <c r="N59" s="21" t="s">
        <v>208</v>
      </c>
      <c r="O59" s="21" t="s">
        <v>350</v>
      </c>
      <c r="P59" s="21" t="s">
        <v>325</v>
      </c>
      <c r="Q59" s="8" t="s">
        <v>375</v>
      </c>
    </row>
    <row r="60" spans="1:17">
      <c r="A60" s="15">
        <v>44774</v>
      </c>
      <c r="B60" s="45" t="s">
        <v>187</v>
      </c>
      <c r="C60" s="2" t="s">
        <v>324</v>
      </c>
      <c r="D60" s="16" t="s">
        <v>326</v>
      </c>
      <c r="E60" s="22" t="s">
        <v>327</v>
      </c>
      <c r="F60" s="17" t="s">
        <v>376</v>
      </c>
      <c r="G60" s="18">
        <v>44774</v>
      </c>
      <c r="H60" s="32">
        <v>130594.39</v>
      </c>
      <c r="I60" s="32">
        <v>-130594.39</v>
      </c>
      <c r="J60" s="52">
        <v>-130.59439</v>
      </c>
      <c r="K60" s="23">
        <v>44801</v>
      </c>
      <c r="L60" s="20" t="s">
        <v>374</v>
      </c>
      <c r="M60" s="35" t="s">
        <v>383</v>
      </c>
      <c r="N60" s="21" t="s">
        <v>208</v>
      </c>
      <c r="O60" s="21" t="s">
        <v>350</v>
      </c>
      <c r="P60" s="21" t="s">
        <v>325</v>
      </c>
      <c r="Q60" s="8" t="s">
        <v>375</v>
      </c>
    </row>
    <row r="61" spans="1:17" hidden="1">
      <c r="A61" s="15">
        <v>44896</v>
      </c>
      <c r="B61" s="45" t="s">
        <v>198</v>
      </c>
      <c r="C61" s="2" t="s">
        <v>205</v>
      </c>
      <c r="D61" s="16" t="s">
        <v>206</v>
      </c>
      <c r="E61" s="22" t="s">
        <v>207</v>
      </c>
      <c r="F61" s="17" t="s">
        <v>373</v>
      </c>
      <c r="G61" s="18">
        <v>44866</v>
      </c>
      <c r="H61" s="32">
        <v>6275401.1100000003</v>
      </c>
      <c r="I61" s="32">
        <v>-6275401.1100000003</v>
      </c>
      <c r="J61" s="52">
        <v>-6275.4011100000007</v>
      </c>
      <c r="K61" s="23">
        <v>44902</v>
      </c>
      <c r="L61" s="20" t="s">
        <v>374</v>
      </c>
      <c r="M61" s="35" t="s">
        <v>352</v>
      </c>
      <c r="N61" s="21" t="s">
        <v>220</v>
      </c>
      <c r="O61" s="21" t="s">
        <v>350</v>
      </c>
      <c r="P61" s="21" t="s">
        <v>209</v>
      </c>
      <c r="Q61" s="8" t="s">
        <v>375</v>
      </c>
    </row>
    <row r="62" spans="1:17" hidden="1">
      <c r="A62" s="15">
        <v>44896</v>
      </c>
      <c r="B62" s="45" t="s">
        <v>198</v>
      </c>
      <c r="C62" s="2" t="s">
        <v>205</v>
      </c>
      <c r="D62" s="16" t="s">
        <v>206</v>
      </c>
      <c r="E62" s="22" t="s">
        <v>207</v>
      </c>
      <c r="F62" s="17" t="s">
        <v>376</v>
      </c>
      <c r="G62" s="18">
        <v>44866</v>
      </c>
      <c r="H62" s="32">
        <v>28742.7</v>
      </c>
      <c r="I62" s="32">
        <v>-28742.7</v>
      </c>
      <c r="J62" s="52">
        <v>-28.742699999999999</v>
      </c>
      <c r="K62" s="23">
        <v>44902</v>
      </c>
      <c r="L62" s="20" t="s">
        <v>374</v>
      </c>
      <c r="M62" s="35" t="s">
        <v>352</v>
      </c>
      <c r="N62" s="21" t="s">
        <v>220</v>
      </c>
      <c r="O62" s="21" t="s">
        <v>350</v>
      </c>
      <c r="P62" s="21" t="s">
        <v>209</v>
      </c>
      <c r="Q62" s="8" t="s">
        <v>375</v>
      </c>
    </row>
    <row r="63" spans="1:17" hidden="1">
      <c r="A63" s="15">
        <v>44896</v>
      </c>
      <c r="B63" s="45" t="s">
        <v>198</v>
      </c>
      <c r="C63" s="2" t="s">
        <v>205</v>
      </c>
      <c r="D63" s="16" t="s">
        <v>206</v>
      </c>
      <c r="E63" s="22" t="s">
        <v>207</v>
      </c>
      <c r="F63" s="17" t="s">
        <v>379</v>
      </c>
      <c r="G63" s="18">
        <v>44866</v>
      </c>
      <c r="H63" s="32">
        <v>10125.719999999999</v>
      </c>
      <c r="I63" s="32">
        <v>-10125.719999999999</v>
      </c>
      <c r="J63" s="52">
        <v>-10.125719999999999</v>
      </c>
      <c r="K63" s="23">
        <v>44902</v>
      </c>
      <c r="L63" s="20" t="s">
        <v>374</v>
      </c>
      <c r="M63" s="35" t="s">
        <v>352</v>
      </c>
      <c r="N63" s="21" t="s">
        <v>220</v>
      </c>
      <c r="O63" s="21" t="s">
        <v>350</v>
      </c>
      <c r="P63" s="21" t="s">
        <v>209</v>
      </c>
      <c r="Q63" s="8" t="s">
        <v>375</v>
      </c>
    </row>
    <row r="64" spans="1:17" hidden="1">
      <c r="A64" s="15">
        <v>44896</v>
      </c>
      <c r="B64" s="45" t="s">
        <v>198</v>
      </c>
      <c r="C64" s="2" t="s">
        <v>205</v>
      </c>
      <c r="D64" s="16" t="s">
        <v>206</v>
      </c>
      <c r="E64" s="22" t="s">
        <v>207</v>
      </c>
      <c r="F64" s="17" t="s">
        <v>382</v>
      </c>
      <c r="G64" s="18">
        <v>44866</v>
      </c>
      <c r="H64" s="32">
        <v>126082.88</v>
      </c>
      <c r="I64" s="32">
        <v>-126082.88</v>
      </c>
      <c r="J64" s="52">
        <v>-126.08288</v>
      </c>
      <c r="K64" s="23">
        <v>44902</v>
      </c>
      <c r="L64" s="20" t="s">
        <v>374</v>
      </c>
      <c r="M64" s="35" t="s">
        <v>352</v>
      </c>
      <c r="N64" s="21" t="s">
        <v>220</v>
      </c>
      <c r="O64" s="21" t="s">
        <v>350</v>
      </c>
      <c r="P64" s="21" t="s">
        <v>209</v>
      </c>
      <c r="Q64" s="8" t="s">
        <v>375</v>
      </c>
    </row>
    <row r="65" spans="1:17" hidden="1">
      <c r="A65" s="15">
        <v>44958</v>
      </c>
      <c r="B65" s="45" t="s">
        <v>198</v>
      </c>
      <c r="C65" s="2" t="s">
        <v>199</v>
      </c>
      <c r="D65" s="16" t="s">
        <v>200</v>
      </c>
      <c r="E65" s="22" t="s">
        <v>201</v>
      </c>
      <c r="F65" s="17" t="s">
        <v>373</v>
      </c>
      <c r="G65" s="18">
        <v>44958</v>
      </c>
      <c r="H65" s="32">
        <v>2065353.13</v>
      </c>
      <c r="I65" s="32">
        <v>-2065353.13</v>
      </c>
      <c r="J65" s="52">
        <v>-2065.35313</v>
      </c>
      <c r="K65" s="23">
        <v>44983</v>
      </c>
      <c r="L65" s="20" t="s">
        <v>374</v>
      </c>
      <c r="M65" s="35" t="s">
        <v>349</v>
      </c>
      <c r="N65" s="21" t="s">
        <v>220</v>
      </c>
      <c r="O65" s="21" t="s">
        <v>350</v>
      </c>
      <c r="P65" s="21" t="s">
        <v>203</v>
      </c>
      <c r="Q65" s="8" t="s">
        <v>375</v>
      </c>
    </row>
    <row r="66" spans="1:17" hidden="1">
      <c r="A66" s="15">
        <v>44958</v>
      </c>
      <c r="B66" s="45" t="s">
        <v>198</v>
      </c>
      <c r="C66" s="2" t="s">
        <v>199</v>
      </c>
      <c r="D66" s="16" t="s">
        <v>200</v>
      </c>
      <c r="E66" s="22" t="s">
        <v>201</v>
      </c>
      <c r="F66" s="17" t="s">
        <v>376</v>
      </c>
      <c r="G66" s="18">
        <v>44958</v>
      </c>
      <c r="H66" s="32">
        <v>2098.44</v>
      </c>
      <c r="I66" s="32">
        <v>-2098.44</v>
      </c>
      <c r="J66" s="52">
        <v>-2.0984400000000001</v>
      </c>
      <c r="K66" s="23">
        <v>44983</v>
      </c>
      <c r="L66" s="20" t="s">
        <v>374</v>
      </c>
      <c r="M66" s="35" t="s">
        <v>349</v>
      </c>
      <c r="N66" s="21" t="s">
        <v>220</v>
      </c>
      <c r="O66" s="21" t="s">
        <v>350</v>
      </c>
      <c r="P66" s="21" t="s">
        <v>203</v>
      </c>
      <c r="Q66" s="8" t="s">
        <v>375</v>
      </c>
    </row>
    <row r="67" spans="1:17">
      <c r="A67" s="15">
        <v>44986</v>
      </c>
      <c r="B67" s="47" t="s">
        <v>187</v>
      </c>
      <c r="C67" s="2" t="s">
        <v>188</v>
      </c>
      <c r="D67" s="16" t="s">
        <v>189</v>
      </c>
      <c r="E67" s="22" t="s">
        <v>190</v>
      </c>
      <c r="F67" s="17" t="s">
        <v>373</v>
      </c>
      <c r="G67" s="18">
        <v>44986</v>
      </c>
      <c r="H67" s="32">
        <v>39380182.030000001</v>
      </c>
      <c r="I67" s="32">
        <v>-39380182.030000001</v>
      </c>
      <c r="J67" s="52">
        <v>-39380.182030000004</v>
      </c>
      <c r="K67" s="23">
        <v>45003</v>
      </c>
      <c r="L67" s="20" t="s">
        <v>374</v>
      </c>
      <c r="M67" s="35" t="s">
        <v>59</v>
      </c>
      <c r="N67" s="21" t="s">
        <v>176</v>
      </c>
      <c r="O67" s="21" t="s">
        <v>350</v>
      </c>
      <c r="P67" s="21" t="s">
        <v>192</v>
      </c>
      <c r="Q67" s="8" t="s">
        <v>375</v>
      </c>
    </row>
    <row r="68" spans="1:17">
      <c r="A68" s="15">
        <v>44986</v>
      </c>
      <c r="B68" s="47" t="s">
        <v>187</v>
      </c>
      <c r="C68" s="2" t="s">
        <v>188</v>
      </c>
      <c r="D68" s="16" t="s">
        <v>189</v>
      </c>
      <c r="E68" s="22" t="s">
        <v>190</v>
      </c>
      <c r="F68" s="17" t="s">
        <v>376</v>
      </c>
      <c r="G68" s="18">
        <v>44986</v>
      </c>
      <c r="H68" s="32">
        <v>40010.97</v>
      </c>
      <c r="I68" s="32">
        <v>-40010.97</v>
      </c>
      <c r="J68" s="52">
        <v>-40.01097</v>
      </c>
      <c r="K68" s="23">
        <v>45003</v>
      </c>
      <c r="L68" s="20" t="s">
        <v>374</v>
      </c>
      <c r="M68" s="35" t="s">
        <v>59</v>
      </c>
      <c r="N68" s="21" t="s">
        <v>176</v>
      </c>
      <c r="O68" s="21" t="s">
        <v>350</v>
      </c>
      <c r="P68" s="21" t="s">
        <v>192</v>
      </c>
      <c r="Q68" s="8" t="s">
        <v>375</v>
      </c>
    </row>
    <row r="69" spans="1:17">
      <c r="A69" s="15">
        <v>44986</v>
      </c>
      <c r="B69" s="45" t="s">
        <v>187</v>
      </c>
      <c r="C69" s="13" t="s">
        <v>211</v>
      </c>
      <c r="D69" s="16" t="s">
        <v>212</v>
      </c>
      <c r="E69" s="22" t="s">
        <v>213</v>
      </c>
      <c r="F69" s="17" t="s">
        <v>373</v>
      </c>
      <c r="G69" s="18">
        <v>45323</v>
      </c>
      <c r="H69" s="32">
        <v>3300737.08</v>
      </c>
      <c r="I69" s="32">
        <v>-3300737.08</v>
      </c>
      <c r="J69" s="52">
        <v>-3300.7370799999999</v>
      </c>
      <c r="K69" s="23">
        <v>45362</v>
      </c>
      <c r="L69" s="20" t="s">
        <v>374</v>
      </c>
      <c r="M69" s="35" t="s">
        <v>115</v>
      </c>
      <c r="N69" s="21" t="s">
        <v>380</v>
      </c>
      <c r="O69" s="21" t="s">
        <v>350</v>
      </c>
      <c r="P69" s="21" t="s">
        <v>214</v>
      </c>
      <c r="Q69" s="8" t="s">
        <v>375</v>
      </c>
    </row>
    <row r="70" spans="1:17">
      <c r="A70" s="15">
        <v>44986</v>
      </c>
      <c r="B70" s="45" t="s">
        <v>187</v>
      </c>
      <c r="C70" s="13" t="s">
        <v>211</v>
      </c>
      <c r="D70" s="16" t="s">
        <v>212</v>
      </c>
      <c r="E70" s="22" t="s">
        <v>213</v>
      </c>
      <c r="F70" s="17" t="s">
        <v>379</v>
      </c>
      <c r="G70" s="18">
        <v>45323</v>
      </c>
      <c r="H70" s="32">
        <v>21073.56</v>
      </c>
      <c r="I70" s="32">
        <v>-21073.56</v>
      </c>
      <c r="J70" s="52">
        <v>-21.073560000000001</v>
      </c>
      <c r="K70" s="23">
        <v>45362</v>
      </c>
      <c r="L70" s="20" t="s">
        <v>374</v>
      </c>
      <c r="M70" s="35" t="s">
        <v>115</v>
      </c>
      <c r="N70" s="21" t="s">
        <v>380</v>
      </c>
      <c r="O70" s="21" t="s">
        <v>350</v>
      </c>
      <c r="P70" s="21" t="s">
        <v>214</v>
      </c>
      <c r="Q70" s="8" t="s">
        <v>375</v>
      </c>
    </row>
    <row r="71" spans="1:17">
      <c r="A71" s="15">
        <v>44986</v>
      </c>
      <c r="B71" s="45" t="s">
        <v>187</v>
      </c>
      <c r="C71" s="13" t="s">
        <v>211</v>
      </c>
      <c r="D71" s="16" t="s">
        <v>212</v>
      </c>
      <c r="E71" s="22" t="s">
        <v>213</v>
      </c>
      <c r="F71" s="17" t="s">
        <v>382</v>
      </c>
      <c r="G71" s="18">
        <v>45323</v>
      </c>
      <c r="H71" s="32">
        <v>66014.740000000005</v>
      </c>
      <c r="I71" s="32">
        <v>-66014.740000000005</v>
      </c>
      <c r="J71" s="52">
        <v>-66.014740000000003</v>
      </c>
      <c r="K71" s="23">
        <v>45362</v>
      </c>
      <c r="L71" s="20" t="s">
        <v>374</v>
      </c>
      <c r="M71" s="35" t="s">
        <v>115</v>
      </c>
      <c r="N71" s="21" t="s">
        <v>380</v>
      </c>
      <c r="O71" s="21" t="s">
        <v>350</v>
      </c>
      <c r="P71" s="21" t="s">
        <v>214</v>
      </c>
      <c r="Q71" s="8" t="s">
        <v>375</v>
      </c>
    </row>
    <row r="72" spans="1:17">
      <c r="A72" s="15">
        <v>44986</v>
      </c>
      <c r="B72" s="45" t="s">
        <v>187</v>
      </c>
      <c r="C72" s="2" t="s">
        <v>278</v>
      </c>
      <c r="D72" s="16" t="s">
        <v>279</v>
      </c>
      <c r="E72" s="22" t="s">
        <v>280</v>
      </c>
      <c r="F72" s="17" t="s">
        <v>373</v>
      </c>
      <c r="G72" s="18">
        <v>44958</v>
      </c>
      <c r="H72" s="32">
        <v>12985938.92</v>
      </c>
      <c r="I72" s="32">
        <v>-12985938.92</v>
      </c>
      <c r="J72" s="52">
        <v>-12985.938920000001</v>
      </c>
      <c r="K72" s="23">
        <v>44993</v>
      </c>
      <c r="L72" s="20" t="s">
        <v>374</v>
      </c>
      <c r="M72" s="35" t="s">
        <v>100</v>
      </c>
      <c r="N72" s="14" t="s">
        <v>314</v>
      </c>
      <c r="O72" s="21" t="s">
        <v>350</v>
      </c>
      <c r="P72" s="21" t="s">
        <v>281</v>
      </c>
      <c r="Q72" s="8" t="s">
        <v>375</v>
      </c>
    </row>
    <row r="73" spans="1:17">
      <c r="A73" s="15">
        <v>44986</v>
      </c>
      <c r="B73" s="45" t="s">
        <v>187</v>
      </c>
      <c r="C73" s="2" t="s">
        <v>278</v>
      </c>
      <c r="D73" s="16" t="s">
        <v>279</v>
      </c>
      <c r="E73" s="22" t="s">
        <v>280</v>
      </c>
      <c r="F73" s="17" t="s">
        <v>379</v>
      </c>
      <c r="G73" s="18">
        <v>44958</v>
      </c>
      <c r="H73" s="32">
        <v>70895.97</v>
      </c>
      <c r="I73" s="32">
        <v>-70895.97</v>
      </c>
      <c r="J73" s="52">
        <v>-70.895970000000005</v>
      </c>
      <c r="K73" s="23">
        <v>44993</v>
      </c>
      <c r="L73" s="20" t="s">
        <v>374</v>
      </c>
      <c r="M73" s="35" t="s">
        <v>100</v>
      </c>
      <c r="N73" s="14" t="s">
        <v>314</v>
      </c>
      <c r="O73" s="21" t="s">
        <v>350</v>
      </c>
      <c r="P73" s="21" t="s">
        <v>281</v>
      </c>
      <c r="Q73" s="8" t="s">
        <v>375</v>
      </c>
    </row>
    <row r="74" spans="1:17">
      <c r="A74" s="15">
        <v>44986</v>
      </c>
      <c r="B74" s="45" t="s">
        <v>187</v>
      </c>
      <c r="C74" s="2" t="s">
        <v>278</v>
      </c>
      <c r="D74" s="16" t="s">
        <v>279</v>
      </c>
      <c r="E74" s="22" t="s">
        <v>280</v>
      </c>
      <c r="F74" s="17" t="s">
        <v>376</v>
      </c>
      <c r="G74" s="18">
        <v>44958</v>
      </c>
      <c r="H74" s="32">
        <v>13193.95</v>
      </c>
      <c r="I74" s="32">
        <v>-13193.95</v>
      </c>
      <c r="J74" s="52">
        <v>-13.193950000000001</v>
      </c>
      <c r="K74" s="23">
        <v>44993</v>
      </c>
      <c r="L74" s="20" t="s">
        <v>374</v>
      </c>
      <c r="M74" s="35" t="s">
        <v>100</v>
      </c>
      <c r="N74" s="14" t="s">
        <v>314</v>
      </c>
      <c r="O74" s="21" t="s">
        <v>350</v>
      </c>
      <c r="P74" s="21" t="s">
        <v>281</v>
      </c>
      <c r="Q74" s="8" t="s">
        <v>375</v>
      </c>
    </row>
    <row r="75" spans="1:17">
      <c r="A75" s="15">
        <v>44986</v>
      </c>
      <c r="B75" s="45" t="s">
        <v>187</v>
      </c>
      <c r="C75" s="2" t="s">
        <v>278</v>
      </c>
      <c r="D75" s="16" t="s">
        <v>279</v>
      </c>
      <c r="E75" s="22" t="s">
        <v>280</v>
      </c>
      <c r="F75" s="17" t="s">
        <v>382</v>
      </c>
      <c r="G75" s="18">
        <v>44958</v>
      </c>
      <c r="H75" s="32">
        <v>259982.66</v>
      </c>
      <c r="I75" s="32">
        <v>-259982.66</v>
      </c>
      <c r="J75" s="52">
        <v>-259.98266000000001</v>
      </c>
      <c r="K75" s="23">
        <v>44993</v>
      </c>
      <c r="L75" s="20" t="s">
        <v>374</v>
      </c>
      <c r="M75" s="35" t="s">
        <v>100</v>
      </c>
      <c r="N75" s="14" t="s">
        <v>314</v>
      </c>
      <c r="O75" s="21" t="s">
        <v>350</v>
      </c>
      <c r="P75" s="21" t="s">
        <v>281</v>
      </c>
      <c r="Q75" s="8" t="s">
        <v>375</v>
      </c>
    </row>
    <row r="76" spans="1:17">
      <c r="A76" s="15">
        <v>44986</v>
      </c>
      <c r="B76" s="45" t="s">
        <v>187</v>
      </c>
      <c r="C76" s="2" t="s">
        <v>278</v>
      </c>
      <c r="D76" s="16" t="s">
        <v>279</v>
      </c>
      <c r="E76" s="22" t="s">
        <v>280</v>
      </c>
      <c r="F76" s="17" t="s">
        <v>373</v>
      </c>
      <c r="G76" s="18">
        <v>44958</v>
      </c>
      <c r="H76" s="32">
        <v>4217701</v>
      </c>
      <c r="I76" s="32">
        <v>-4217701</v>
      </c>
      <c r="J76" s="52">
        <v>-4217.701</v>
      </c>
      <c r="K76" s="23">
        <v>44993</v>
      </c>
      <c r="L76" s="20" t="s">
        <v>374</v>
      </c>
      <c r="M76" s="35" t="s">
        <v>114</v>
      </c>
      <c r="N76" s="21" t="s">
        <v>243</v>
      </c>
      <c r="O76" s="21" t="s">
        <v>350</v>
      </c>
      <c r="P76" s="21" t="s">
        <v>281</v>
      </c>
      <c r="Q76" s="8" t="s">
        <v>375</v>
      </c>
    </row>
    <row r="77" spans="1:17">
      <c r="A77" s="15">
        <v>44986</v>
      </c>
      <c r="B77" s="45" t="s">
        <v>187</v>
      </c>
      <c r="C77" s="2" t="s">
        <v>278</v>
      </c>
      <c r="D77" s="16" t="s">
        <v>279</v>
      </c>
      <c r="E77" s="22" t="s">
        <v>280</v>
      </c>
      <c r="F77" s="17" t="s">
        <v>376</v>
      </c>
      <c r="G77" s="18">
        <v>44958</v>
      </c>
      <c r="H77" s="32">
        <v>4285.26</v>
      </c>
      <c r="I77" s="32">
        <v>-4285.26</v>
      </c>
      <c r="J77" s="52">
        <v>-4.2852600000000001</v>
      </c>
      <c r="K77" s="23">
        <v>44993</v>
      </c>
      <c r="L77" s="20" t="s">
        <v>374</v>
      </c>
      <c r="M77" s="35" t="s">
        <v>114</v>
      </c>
      <c r="N77" s="21" t="s">
        <v>243</v>
      </c>
      <c r="O77" s="21" t="s">
        <v>350</v>
      </c>
      <c r="P77" s="21" t="s">
        <v>281</v>
      </c>
      <c r="Q77" s="8" t="s">
        <v>375</v>
      </c>
    </row>
    <row r="78" spans="1:17">
      <c r="A78" s="15">
        <v>44986</v>
      </c>
      <c r="B78" s="45" t="s">
        <v>187</v>
      </c>
      <c r="C78" s="2" t="s">
        <v>278</v>
      </c>
      <c r="D78" s="16" t="s">
        <v>279</v>
      </c>
      <c r="E78" s="22" t="s">
        <v>280</v>
      </c>
      <c r="F78" s="17" t="s">
        <v>379</v>
      </c>
      <c r="G78" s="18">
        <v>44958</v>
      </c>
      <c r="H78" s="32">
        <v>23026.29</v>
      </c>
      <c r="I78" s="32">
        <v>-23026.29</v>
      </c>
      <c r="J78" s="52">
        <v>-23.026289999999999</v>
      </c>
      <c r="K78" s="23">
        <v>44993</v>
      </c>
      <c r="L78" s="20" t="s">
        <v>374</v>
      </c>
      <c r="M78" s="35" t="s">
        <v>114</v>
      </c>
      <c r="N78" s="21" t="s">
        <v>243</v>
      </c>
      <c r="O78" s="21" t="s">
        <v>350</v>
      </c>
      <c r="P78" s="21" t="s">
        <v>281</v>
      </c>
      <c r="Q78" s="8" t="s">
        <v>375</v>
      </c>
    </row>
    <row r="79" spans="1:17">
      <c r="A79" s="15">
        <v>44986</v>
      </c>
      <c r="B79" s="45" t="s">
        <v>187</v>
      </c>
      <c r="C79" s="2" t="s">
        <v>278</v>
      </c>
      <c r="D79" s="16" t="s">
        <v>279</v>
      </c>
      <c r="E79" s="22" t="s">
        <v>280</v>
      </c>
      <c r="F79" s="17" t="s">
        <v>382</v>
      </c>
      <c r="G79" s="18">
        <v>44958</v>
      </c>
      <c r="H79" s="32">
        <v>84439.73</v>
      </c>
      <c r="I79" s="32">
        <v>-84439.73</v>
      </c>
      <c r="J79" s="52">
        <v>-84.439729999999997</v>
      </c>
      <c r="K79" s="23">
        <v>44993</v>
      </c>
      <c r="L79" s="20" t="s">
        <v>374</v>
      </c>
      <c r="M79" s="35" t="s">
        <v>114</v>
      </c>
      <c r="N79" s="21" t="s">
        <v>243</v>
      </c>
      <c r="O79" s="21" t="s">
        <v>350</v>
      </c>
      <c r="P79" s="21" t="s">
        <v>281</v>
      </c>
      <c r="Q79" s="8" t="s">
        <v>375</v>
      </c>
    </row>
    <row r="80" spans="1:17" hidden="1">
      <c r="A80" s="15">
        <v>45047</v>
      </c>
      <c r="B80" s="45" t="s">
        <v>198</v>
      </c>
      <c r="C80" s="2" t="s">
        <v>205</v>
      </c>
      <c r="D80" s="16" t="s">
        <v>206</v>
      </c>
      <c r="E80" s="22" t="s">
        <v>207</v>
      </c>
      <c r="F80" s="17" t="s">
        <v>384</v>
      </c>
      <c r="G80" s="18">
        <v>45047</v>
      </c>
      <c r="H80" s="32">
        <v>1032462</v>
      </c>
      <c r="I80" s="32">
        <v>-1032462</v>
      </c>
      <c r="J80" s="52">
        <v>-1032.462</v>
      </c>
      <c r="K80" s="23">
        <v>45071</v>
      </c>
      <c r="L80" s="20" t="s">
        <v>374</v>
      </c>
      <c r="M80" s="35" t="s">
        <v>86</v>
      </c>
      <c r="N80" s="21" t="s">
        <v>191</v>
      </c>
      <c r="O80" s="21" t="s">
        <v>385</v>
      </c>
      <c r="P80" s="21" t="s">
        <v>209</v>
      </c>
      <c r="Q80" s="8" t="s">
        <v>375</v>
      </c>
    </row>
    <row r="81" spans="1:17" hidden="1">
      <c r="A81" s="15">
        <v>45047</v>
      </c>
      <c r="B81" s="45" t="s">
        <v>198</v>
      </c>
      <c r="C81" s="2" t="s">
        <v>205</v>
      </c>
      <c r="D81" s="16" t="s">
        <v>206</v>
      </c>
      <c r="E81" s="22" t="s">
        <v>207</v>
      </c>
      <c r="F81" s="17" t="s">
        <v>386</v>
      </c>
      <c r="G81" s="18">
        <v>45047</v>
      </c>
      <c r="H81" s="32">
        <v>28051.89</v>
      </c>
      <c r="I81" s="32">
        <v>-28051.89</v>
      </c>
      <c r="J81" s="52">
        <v>-28.05189</v>
      </c>
      <c r="K81" s="23">
        <v>45071</v>
      </c>
      <c r="L81" s="20" t="s">
        <v>374</v>
      </c>
      <c r="M81" s="35" t="s">
        <v>86</v>
      </c>
      <c r="N81" s="21" t="s">
        <v>191</v>
      </c>
      <c r="O81" s="21" t="s">
        <v>385</v>
      </c>
      <c r="P81" s="21" t="s">
        <v>209</v>
      </c>
      <c r="Q81" s="8" t="s">
        <v>375</v>
      </c>
    </row>
    <row r="82" spans="1:17">
      <c r="A82" s="15">
        <v>45078</v>
      </c>
      <c r="B82" s="45" t="s">
        <v>187</v>
      </c>
      <c r="C82" s="2" t="s">
        <v>324</v>
      </c>
      <c r="D82" s="16" t="s">
        <v>326</v>
      </c>
      <c r="E82" s="22" t="s">
        <v>327</v>
      </c>
      <c r="F82" s="17" t="s">
        <v>373</v>
      </c>
      <c r="G82" s="18">
        <v>45078</v>
      </c>
      <c r="H82" s="32">
        <v>15938625.460000001</v>
      </c>
      <c r="I82" s="32">
        <v>-15938625.460000001</v>
      </c>
      <c r="J82" s="52">
        <v>-15938.625460000001</v>
      </c>
      <c r="K82" s="23">
        <v>45105</v>
      </c>
      <c r="L82" s="20" t="s">
        <v>374</v>
      </c>
      <c r="M82" s="35" t="s">
        <v>108</v>
      </c>
      <c r="N82" s="21" t="s">
        <v>220</v>
      </c>
      <c r="O82" s="21" t="s">
        <v>350</v>
      </c>
      <c r="P82" s="21" t="s">
        <v>325</v>
      </c>
      <c r="Q82" s="8" t="s">
        <v>375</v>
      </c>
    </row>
    <row r="83" spans="1:17">
      <c r="A83" s="15">
        <v>45078</v>
      </c>
      <c r="B83" s="45" t="s">
        <v>187</v>
      </c>
      <c r="C83" s="2" t="s">
        <v>324</v>
      </c>
      <c r="D83" s="16" t="s">
        <v>326</v>
      </c>
      <c r="E83" s="22" t="s">
        <v>327</v>
      </c>
      <c r="F83" s="17" t="s">
        <v>376</v>
      </c>
      <c r="G83" s="18">
        <v>45078</v>
      </c>
      <c r="H83" s="32">
        <v>24297.06</v>
      </c>
      <c r="I83" s="32">
        <v>-24297.06</v>
      </c>
      <c r="J83" s="52">
        <v>-24.297060000000002</v>
      </c>
      <c r="K83" s="23">
        <v>45105</v>
      </c>
      <c r="L83" s="20" t="s">
        <v>374</v>
      </c>
      <c r="M83" s="35" t="s">
        <v>108</v>
      </c>
      <c r="N83" s="21" t="s">
        <v>220</v>
      </c>
      <c r="O83" s="21" t="s">
        <v>350</v>
      </c>
      <c r="P83" s="21" t="s">
        <v>325</v>
      </c>
      <c r="Q83" s="8" t="s">
        <v>375</v>
      </c>
    </row>
    <row r="84" spans="1:17">
      <c r="A84" s="15">
        <v>45078</v>
      </c>
      <c r="B84" s="45" t="s">
        <v>187</v>
      </c>
      <c r="C84" s="2" t="s">
        <v>324</v>
      </c>
      <c r="D84" s="16" t="s">
        <v>326</v>
      </c>
      <c r="E84" s="22" t="s">
        <v>327</v>
      </c>
      <c r="F84" s="17" t="s">
        <v>379</v>
      </c>
      <c r="G84" s="18">
        <v>45078</v>
      </c>
      <c r="H84" s="32">
        <v>31798.14</v>
      </c>
      <c r="I84" s="32">
        <v>-31798.14</v>
      </c>
      <c r="J84" s="52">
        <v>-31.79814</v>
      </c>
      <c r="K84" s="23">
        <v>45105</v>
      </c>
      <c r="L84" s="20" t="s">
        <v>374</v>
      </c>
      <c r="M84" s="35" t="s">
        <v>108</v>
      </c>
      <c r="N84" s="21" t="s">
        <v>220</v>
      </c>
      <c r="O84" s="21" t="s">
        <v>350</v>
      </c>
      <c r="P84" s="21" t="s">
        <v>325</v>
      </c>
      <c r="Q84" s="8" t="s">
        <v>375</v>
      </c>
    </row>
    <row r="85" spans="1:17">
      <c r="A85" s="15">
        <v>45078</v>
      </c>
      <c r="B85" s="45" t="s">
        <v>187</v>
      </c>
      <c r="C85" s="2" t="s">
        <v>324</v>
      </c>
      <c r="D85" s="16" t="s">
        <v>326</v>
      </c>
      <c r="E85" s="22" t="s">
        <v>327</v>
      </c>
      <c r="F85" s="17" t="s">
        <v>382</v>
      </c>
      <c r="G85" s="18">
        <v>45078</v>
      </c>
      <c r="H85" s="32">
        <v>319258.45</v>
      </c>
      <c r="I85" s="32">
        <v>-319258.45</v>
      </c>
      <c r="J85" s="52">
        <v>-319.25845000000004</v>
      </c>
      <c r="K85" s="23">
        <v>45105</v>
      </c>
      <c r="L85" s="20" t="s">
        <v>374</v>
      </c>
      <c r="M85" s="35" t="s">
        <v>108</v>
      </c>
      <c r="N85" s="21" t="s">
        <v>220</v>
      </c>
      <c r="O85" s="21" t="s">
        <v>350</v>
      </c>
      <c r="P85" s="21" t="s">
        <v>325</v>
      </c>
      <c r="Q85" s="8" t="s">
        <v>375</v>
      </c>
    </row>
    <row r="86" spans="1:17">
      <c r="A86" s="15">
        <v>45139</v>
      </c>
      <c r="B86" s="45" t="s">
        <v>187</v>
      </c>
      <c r="C86" s="2" t="s">
        <v>328</v>
      </c>
      <c r="D86" s="16" t="s">
        <v>341</v>
      </c>
      <c r="E86" s="22" t="s">
        <v>342</v>
      </c>
      <c r="F86" s="17" t="s">
        <v>373</v>
      </c>
      <c r="G86" s="18">
        <v>45139</v>
      </c>
      <c r="H86" s="32">
        <v>609230.22</v>
      </c>
      <c r="I86" s="32">
        <v>-609230.22</v>
      </c>
      <c r="J86" s="52">
        <v>-609.23021999999992</v>
      </c>
      <c r="K86" s="23">
        <v>45167</v>
      </c>
      <c r="L86" s="20" t="s">
        <v>374</v>
      </c>
      <c r="M86" s="35" t="s">
        <v>113</v>
      </c>
      <c r="N86" s="21" t="s">
        <v>208</v>
      </c>
      <c r="O86" s="21" t="s">
        <v>350</v>
      </c>
      <c r="P86" s="21" t="s">
        <v>329</v>
      </c>
      <c r="Q86" s="8" t="s">
        <v>375</v>
      </c>
    </row>
    <row r="87" spans="1:17">
      <c r="A87" s="15">
        <v>45139</v>
      </c>
      <c r="B87" s="45" t="s">
        <v>187</v>
      </c>
      <c r="C87" s="2" t="s">
        <v>328</v>
      </c>
      <c r="D87" s="16" t="s">
        <v>341</v>
      </c>
      <c r="E87" s="22" t="s">
        <v>342</v>
      </c>
      <c r="F87" s="17" t="s">
        <v>379</v>
      </c>
      <c r="G87" s="18">
        <v>45139</v>
      </c>
      <c r="H87" s="32">
        <v>3328.89</v>
      </c>
      <c r="I87" s="32">
        <v>-3328.89</v>
      </c>
      <c r="J87" s="52">
        <v>-3.3288899999999999</v>
      </c>
      <c r="K87" s="23">
        <v>45167</v>
      </c>
      <c r="L87" s="20" t="s">
        <v>374</v>
      </c>
      <c r="M87" s="35" t="s">
        <v>113</v>
      </c>
      <c r="N87" s="21" t="s">
        <v>208</v>
      </c>
      <c r="O87" s="21" t="s">
        <v>350</v>
      </c>
      <c r="P87" s="21" t="s">
        <v>329</v>
      </c>
      <c r="Q87" s="8" t="s">
        <v>375</v>
      </c>
    </row>
    <row r="88" spans="1:17">
      <c r="A88" s="15">
        <v>45139</v>
      </c>
      <c r="B88" s="45" t="s">
        <v>187</v>
      </c>
      <c r="C88" s="2" t="s">
        <v>328</v>
      </c>
      <c r="D88" s="16" t="s">
        <v>341</v>
      </c>
      <c r="E88" s="22" t="s">
        <v>342</v>
      </c>
      <c r="F88" s="17" t="s">
        <v>382</v>
      </c>
      <c r="G88" s="18">
        <v>45139</v>
      </c>
      <c r="H88" s="32">
        <v>12184.6</v>
      </c>
      <c r="I88" s="32">
        <v>-12184.6</v>
      </c>
      <c r="J88" s="52">
        <v>-12.1846</v>
      </c>
      <c r="K88" s="23">
        <v>45167</v>
      </c>
      <c r="L88" s="20" t="s">
        <v>374</v>
      </c>
      <c r="M88" s="35" t="s">
        <v>113</v>
      </c>
      <c r="N88" s="21" t="s">
        <v>208</v>
      </c>
      <c r="O88" s="21" t="s">
        <v>350</v>
      </c>
      <c r="P88" s="21" t="s">
        <v>329</v>
      </c>
      <c r="Q88" s="8" t="s">
        <v>375</v>
      </c>
    </row>
    <row r="89" spans="1:17" hidden="1">
      <c r="A89" s="15">
        <v>45139</v>
      </c>
      <c r="B89" s="47" t="s">
        <v>226</v>
      </c>
      <c r="C89" s="2" t="s">
        <v>313</v>
      </c>
      <c r="D89" s="16" t="s">
        <v>332</v>
      </c>
      <c r="E89" s="22" t="s">
        <v>333</v>
      </c>
      <c r="F89" s="17" t="s">
        <v>373</v>
      </c>
      <c r="G89" s="18">
        <v>45139</v>
      </c>
      <c r="H89" s="32">
        <v>63857334.969999999</v>
      </c>
      <c r="I89" s="32">
        <v>-63857334.969999999</v>
      </c>
      <c r="J89" s="52">
        <v>-63857.334969999996</v>
      </c>
      <c r="K89" s="23">
        <v>45152</v>
      </c>
      <c r="L89" s="20" t="s">
        <v>374</v>
      </c>
      <c r="M89" s="35" t="s">
        <v>103</v>
      </c>
      <c r="N89" s="21" t="s">
        <v>320</v>
      </c>
      <c r="O89" s="21" t="s">
        <v>350</v>
      </c>
      <c r="P89" s="21" t="s">
        <v>315</v>
      </c>
      <c r="Q89" s="8" t="s">
        <v>375</v>
      </c>
    </row>
    <row r="90" spans="1:17" hidden="1">
      <c r="A90" s="15">
        <v>45139</v>
      </c>
      <c r="B90" s="47" t="s">
        <v>226</v>
      </c>
      <c r="C90" s="2" t="s">
        <v>313</v>
      </c>
      <c r="D90" s="16" t="s">
        <v>332</v>
      </c>
      <c r="E90" s="22" t="s">
        <v>333</v>
      </c>
      <c r="F90" s="17" t="s">
        <v>376</v>
      </c>
      <c r="G90" s="18">
        <v>45139</v>
      </c>
      <c r="H90" s="32">
        <v>455548.04</v>
      </c>
      <c r="I90" s="32">
        <v>-455548.04</v>
      </c>
      <c r="J90" s="52">
        <v>-455.54803999999996</v>
      </c>
      <c r="K90" s="23">
        <v>45152</v>
      </c>
      <c r="L90" s="20" t="s">
        <v>374</v>
      </c>
      <c r="M90" s="35" t="s">
        <v>103</v>
      </c>
      <c r="N90" s="21" t="s">
        <v>320</v>
      </c>
      <c r="O90" s="21" t="s">
        <v>350</v>
      </c>
      <c r="P90" s="21" t="s">
        <v>315</v>
      </c>
      <c r="Q90" s="8" t="s">
        <v>375</v>
      </c>
    </row>
    <row r="91" spans="1:17" hidden="1">
      <c r="A91" s="15">
        <v>45200</v>
      </c>
      <c r="B91" s="45" t="s">
        <v>252</v>
      </c>
      <c r="C91" s="2" t="s">
        <v>252</v>
      </c>
      <c r="D91" s="16" t="s">
        <v>253</v>
      </c>
      <c r="E91" s="22" t="s">
        <v>254</v>
      </c>
      <c r="F91" s="17" t="s">
        <v>384</v>
      </c>
      <c r="G91" s="18">
        <v>45200</v>
      </c>
      <c r="H91" s="32">
        <v>416822.07</v>
      </c>
      <c r="I91" s="32">
        <v>-416822.07</v>
      </c>
      <c r="J91" s="52">
        <v>-416.82207</v>
      </c>
      <c r="K91" s="23">
        <v>45213</v>
      </c>
      <c r="L91" s="20" t="s">
        <v>374</v>
      </c>
      <c r="M91" s="35" t="s">
        <v>83</v>
      </c>
      <c r="N91" s="21" t="s">
        <v>191</v>
      </c>
      <c r="O91" s="21" t="s">
        <v>350</v>
      </c>
      <c r="P91" s="21" t="s">
        <v>255</v>
      </c>
      <c r="Q91" s="8" t="s">
        <v>375</v>
      </c>
    </row>
    <row r="92" spans="1:17" hidden="1">
      <c r="A92" s="15">
        <v>45200</v>
      </c>
      <c r="B92" s="45" t="s">
        <v>252</v>
      </c>
      <c r="C92" s="2" t="s">
        <v>252</v>
      </c>
      <c r="D92" s="16" t="s">
        <v>253</v>
      </c>
      <c r="E92" s="22" t="s">
        <v>254</v>
      </c>
      <c r="F92" s="17" t="s">
        <v>386</v>
      </c>
      <c r="G92" s="18">
        <v>45200</v>
      </c>
      <c r="H92" s="32">
        <v>5901.53</v>
      </c>
      <c r="I92" s="32">
        <v>-5901.53</v>
      </c>
      <c r="J92" s="52">
        <v>-5.9015300000000002</v>
      </c>
      <c r="K92" s="23">
        <v>45213</v>
      </c>
      <c r="L92" s="20" t="s">
        <v>374</v>
      </c>
      <c r="M92" s="35" t="s">
        <v>83</v>
      </c>
      <c r="N92" s="21" t="s">
        <v>191</v>
      </c>
      <c r="O92" s="21" t="s">
        <v>350</v>
      </c>
      <c r="P92" s="21" t="s">
        <v>255</v>
      </c>
      <c r="Q92" s="8" t="s">
        <v>375</v>
      </c>
    </row>
    <row r="93" spans="1:17" hidden="1">
      <c r="A93" s="15">
        <v>45261</v>
      </c>
      <c r="B93" s="45" t="s">
        <v>198</v>
      </c>
      <c r="C93" s="2" t="s">
        <v>199</v>
      </c>
      <c r="D93" s="16" t="s">
        <v>200</v>
      </c>
      <c r="E93" s="22" t="s">
        <v>201</v>
      </c>
      <c r="F93" s="17" t="s">
        <v>373</v>
      </c>
      <c r="G93" s="18">
        <v>45231</v>
      </c>
      <c r="H93" s="32">
        <v>3402581.82</v>
      </c>
      <c r="I93" s="32">
        <v>-3402581.82</v>
      </c>
      <c r="J93" s="52">
        <v>-3402.5818199999999</v>
      </c>
      <c r="K93" s="23">
        <v>45267</v>
      </c>
      <c r="L93" s="20" t="s">
        <v>374</v>
      </c>
      <c r="M93" s="35" t="s">
        <v>351</v>
      </c>
      <c r="N93" s="21" t="s">
        <v>229</v>
      </c>
      <c r="O93" s="21" t="s">
        <v>350</v>
      </c>
      <c r="P93" s="21" t="s">
        <v>203</v>
      </c>
      <c r="Q93" s="8" t="s">
        <v>375</v>
      </c>
    </row>
    <row r="94" spans="1:17" hidden="1">
      <c r="A94" s="15">
        <v>45261</v>
      </c>
      <c r="B94" s="45" t="s">
        <v>198</v>
      </c>
      <c r="C94" s="2" t="s">
        <v>199</v>
      </c>
      <c r="D94" s="16" t="s">
        <v>200</v>
      </c>
      <c r="E94" s="22" t="s">
        <v>201</v>
      </c>
      <c r="F94" s="17" t="s">
        <v>376</v>
      </c>
      <c r="G94" s="18">
        <v>45231</v>
      </c>
      <c r="H94" s="32">
        <v>28164.880000000001</v>
      </c>
      <c r="I94" s="32">
        <v>-28164.880000000001</v>
      </c>
      <c r="J94" s="52">
        <v>-28.16488</v>
      </c>
      <c r="K94" s="23">
        <v>45267</v>
      </c>
      <c r="L94" s="20" t="s">
        <v>374</v>
      </c>
      <c r="M94" s="35" t="s">
        <v>351</v>
      </c>
      <c r="N94" s="21" t="s">
        <v>229</v>
      </c>
      <c r="O94" s="21" t="s">
        <v>350</v>
      </c>
      <c r="P94" s="21" t="s">
        <v>203</v>
      </c>
      <c r="Q94" s="8" t="s">
        <v>375</v>
      </c>
    </row>
    <row r="95" spans="1:17" hidden="1">
      <c r="A95" s="15">
        <v>45292</v>
      </c>
      <c r="B95" s="45" t="s">
        <v>252</v>
      </c>
      <c r="C95" s="2" t="s">
        <v>252</v>
      </c>
      <c r="D95" s="16" t="s">
        <v>253</v>
      </c>
      <c r="E95" s="22" t="s">
        <v>254</v>
      </c>
      <c r="F95" s="17" t="s">
        <v>373</v>
      </c>
      <c r="G95" s="18">
        <v>45200</v>
      </c>
      <c r="H95" s="32">
        <v>24428056.030000001</v>
      </c>
      <c r="I95" s="32">
        <f>-H95</f>
        <v>-24428056.030000001</v>
      </c>
      <c r="J95" s="52">
        <v>-24428.05603</v>
      </c>
      <c r="K95" s="23">
        <v>45310</v>
      </c>
      <c r="L95" s="20" t="s">
        <v>387</v>
      </c>
      <c r="M95" s="35" t="s">
        <v>96</v>
      </c>
      <c r="N95" s="21" t="s">
        <v>388</v>
      </c>
      <c r="O95" s="21" t="s">
        <v>350</v>
      </c>
      <c r="P95" s="21" t="s">
        <v>255</v>
      </c>
      <c r="Q95" s="8" t="s">
        <v>375</v>
      </c>
    </row>
    <row r="96" spans="1:17" hidden="1">
      <c r="A96" s="15">
        <v>45292</v>
      </c>
      <c r="B96" s="45" t="s">
        <v>252</v>
      </c>
      <c r="C96" s="2" t="s">
        <v>252</v>
      </c>
      <c r="D96" s="16" t="s">
        <v>253</v>
      </c>
      <c r="E96" s="22" t="s">
        <v>254</v>
      </c>
      <c r="F96" s="17" t="s">
        <v>373</v>
      </c>
      <c r="G96" s="18">
        <v>45200</v>
      </c>
      <c r="H96" s="32">
        <v>19928759.890000001</v>
      </c>
      <c r="I96" s="32">
        <v>-19928759.890000001</v>
      </c>
      <c r="J96" s="52">
        <v>-19928.759890000001</v>
      </c>
      <c r="K96" s="23">
        <v>45310</v>
      </c>
      <c r="L96" s="20" t="s">
        <v>374</v>
      </c>
      <c r="M96" s="35" t="s">
        <v>96</v>
      </c>
      <c r="N96" s="14" t="s">
        <v>314</v>
      </c>
      <c r="O96" s="21" t="s">
        <v>350</v>
      </c>
      <c r="P96" s="21" t="s">
        <v>255</v>
      </c>
      <c r="Q96" s="8" t="s">
        <v>375</v>
      </c>
    </row>
    <row r="97" spans="1:17" hidden="1">
      <c r="A97" s="15">
        <v>45292</v>
      </c>
      <c r="B97" s="45" t="s">
        <v>252</v>
      </c>
      <c r="C97" s="2" t="s">
        <v>252</v>
      </c>
      <c r="D97" s="16" t="s">
        <v>253</v>
      </c>
      <c r="E97" s="22" t="s">
        <v>254</v>
      </c>
      <c r="F97" s="17" t="s">
        <v>376</v>
      </c>
      <c r="G97" s="18">
        <v>45200</v>
      </c>
      <c r="H97" s="32">
        <v>2064368.97</v>
      </c>
      <c r="I97" s="32">
        <f>-H97</f>
        <v>-2064368.97</v>
      </c>
      <c r="J97" s="52">
        <v>-2064.36897</v>
      </c>
      <c r="K97" s="23">
        <v>45310</v>
      </c>
      <c r="L97" s="20" t="s">
        <v>387</v>
      </c>
      <c r="M97" s="35" t="s">
        <v>96</v>
      </c>
      <c r="N97" s="21" t="s">
        <v>388</v>
      </c>
      <c r="O97" s="21" t="s">
        <v>350</v>
      </c>
      <c r="P97" s="21" t="s">
        <v>255</v>
      </c>
      <c r="Q97" s="8" t="s">
        <v>375</v>
      </c>
    </row>
    <row r="98" spans="1:17" hidden="1">
      <c r="A98" s="24">
        <v>45383</v>
      </c>
      <c r="B98" s="49" t="s">
        <v>198</v>
      </c>
      <c r="C98" s="2" t="s">
        <v>205</v>
      </c>
      <c r="D98" s="25" t="s">
        <v>206</v>
      </c>
      <c r="E98" s="26" t="s">
        <v>207</v>
      </c>
      <c r="F98" s="17" t="s">
        <v>373</v>
      </c>
      <c r="G98" s="27">
        <v>45383</v>
      </c>
      <c r="H98" s="32">
        <v>13005812.130000001</v>
      </c>
      <c r="I98" s="50">
        <v>-13005812.130000001</v>
      </c>
      <c r="J98" s="52">
        <v>-13005.81213</v>
      </c>
      <c r="K98" s="28">
        <v>45411</v>
      </c>
      <c r="L98" s="29" t="s">
        <v>374</v>
      </c>
      <c r="M98" s="37" t="s">
        <v>92</v>
      </c>
      <c r="N98" s="21" t="s">
        <v>229</v>
      </c>
      <c r="O98" s="21" t="s">
        <v>350</v>
      </c>
      <c r="P98" s="21" t="s">
        <v>209</v>
      </c>
      <c r="Q98" s="8" t="s">
        <v>375</v>
      </c>
    </row>
    <row r="99" spans="1:17" hidden="1">
      <c r="A99" s="24">
        <v>45383</v>
      </c>
      <c r="B99" s="49" t="s">
        <v>198</v>
      </c>
      <c r="C99" s="2" t="s">
        <v>205</v>
      </c>
      <c r="D99" s="25" t="s">
        <v>206</v>
      </c>
      <c r="E99" s="26" t="s">
        <v>207</v>
      </c>
      <c r="F99" s="30" t="s">
        <v>376</v>
      </c>
      <c r="G99" s="27">
        <v>45383</v>
      </c>
      <c r="H99" s="32">
        <v>5224.17</v>
      </c>
      <c r="I99" s="50">
        <v>-5224.17</v>
      </c>
      <c r="J99" s="52">
        <v>-5.22417</v>
      </c>
      <c r="K99" s="28">
        <v>45411</v>
      </c>
      <c r="L99" s="29" t="s">
        <v>374</v>
      </c>
      <c r="M99" s="37" t="s">
        <v>92</v>
      </c>
      <c r="N99" s="21" t="s">
        <v>229</v>
      </c>
      <c r="O99" s="21" t="s">
        <v>350</v>
      </c>
      <c r="P99" s="21" t="s">
        <v>209</v>
      </c>
      <c r="Q99" s="8" t="s">
        <v>375</v>
      </c>
    </row>
    <row r="100" spans="1:17">
      <c r="A100" s="15">
        <v>45444</v>
      </c>
      <c r="B100" s="45" t="s">
        <v>187</v>
      </c>
      <c r="C100" s="13" t="s">
        <v>211</v>
      </c>
      <c r="D100" s="16" t="s">
        <v>212</v>
      </c>
      <c r="E100" s="22" t="s">
        <v>213</v>
      </c>
      <c r="F100" s="17" t="s">
        <v>373</v>
      </c>
      <c r="G100" s="18">
        <v>45444</v>
      </c>
      <c r="H100" s="32">
        <v>23112586.010000002</v>
      </c>
      <c r="I100" s="50">
        <v>-23112586.010000002</v>
      </c>
      <c r="J100" s="52">
        <v>-23112.586010000003</v>
      </c>
      <c r="K100" s="28">
        <v>45482</v>
      </c>
      <c r="L100" s="29" t="s">
        <v>374</v>
      </c>
      <c r="M100" s="35" t="s">
        <v>95</v>
      </c>
      <c r="N100" s="21" t="s">
        <v>229</v>
      </c>
      <c r="O100" s="21" t="s">
        <v>350</v>
      </c>
      <c r="P100" s="21" t="s">
        <v>214</v>
      </c>
      <c r="Q100" s="8" t="s">
        <v>375</v>
      </c>
    </row>
    <row r="101" spans="1:17">
      <c r="A101" s="15">
        <v>45444</v>
      </c>
      <c r="B101" s="45" t="s">
        <v>187</v>
      </c>
      <c r="C101" s="13" t="s">
        <v>211</v>
      </c>
      <c r="D101" s="16" t="s">
        <v>212</v>
      </c>
      <c r="E101" s="22" t="s">
        <v>213</v>
      </c>
      <c r="F101" s="17" t="s">
        <v>379</v>
      </c>
      <c r="G101" s="18">
        <v>45444</v>
      </c>
      <c r="H101" s="32">
        <v>113516.43</v>
      </c>
      <c r="I101" s="50">
        <v>-113516.43</v>
      </c>
      <c r="J101" s="52">
        <v>-113.51643</v>
      </c>
      <c r="K101" s="28">
        <v>45482</v>
      </c>
      <c r="L101" s="29" t="s">
        <v>374</v>
      </c>
      <c r="M101" s="35" t="s">
        <v>95</v>
      </c>
      <c r="N101" s="21" t="s">
        <v>229</v>
      </c>
      <c r="O101" s="21" t="s">
        <v>350</v>
      </c>
      <c r="P101" s="21" t="s">
        <v>214</v>
      </c>
      <c r="Q101" s="8" t="s">
        <v>375</v>
      </c>
    </row>
    <row r="102" spans="1:17">
      <c r="A102" s="15">
        <v>45444</v>
      </c>
      <c r="B102" s="45" t="s">
        <v>187</v>
      </c>
      <c r="C102" s="13" t="s">
        <v>211</v>
      </c>
      <c r="D102" s="16" t="s">
        <v>212</v>
      </c>
      <c r="E102" s="22" t="s">
        <v>213</v>
      </c>
      <c r="F102" s="17" t="s">
        <v>382</v>
      </c>
      <c r="G102" s="18">
        <v>45444</v>
      </c>
      <c r="H102" s="32">
        <v>462614.84</v>
      </c>
      <c r="I102" s="50">
        <v>-462614.84</v>
      </c>
      <c r="J102" s="52">
        <v>-462.61484000000002</v>
      </c>
      <c r="K102" s="28">
        <v>45482</v>
      </c>
      <c r="L102" s="29" t="s">
        <v>374</v>
      </c>
      <c r="M102" s="35" t="s">
        <v>95</v>
      </c>
      <c r="N102" s="21" t="s">
        <v>229</v>
      </c>
      <c r="O102" s="21" t="s">
        <v>350</v>
      </c>
      <c r="P102" s="21" t="s">
        <v>214</v>
      </c>
      <c r="Q102" s="8" t="s">
        <v>375</v>
      </c>
    </row>
    <row r="103" spans="1:17">
      <c r="A103" s="15">
        <v>45444</v>
      </c>
      <c r="B103" s="45" t="s">
        <v>187</v>
      </c>
      <c r="C103" s="13" t="s">
        <v>211</v>
      </c>
      <c r="D103" s="16" t="s">
        <v>212</v>
      </c>
      <c r="E103" s="22" t="s">
        <v>213</v>
      </c>
      <c r="F103" s="30" t="s">
        <v>376</v>
      </c>
      <c r="G103" s="18">
        <v>45444</v>
      </c>
      <c r="H103" s="32">
        <v>18156.189999999999</v>
      </c>
      <c r="I103" s="50">
        <v>-18156.189999999999</v>
      </c>
      <c r="J103" s="52">
        <v>-18.156189999999999</v>
      </c>
      <c r="K103" s="28">
        <v>45482</v>
      </c>
      <c r="L103" s="29" t="s">
        <v>374</v>
      </c>
      <c r="M103" s="35" t="s">
        <v>95</v>
      </c>
      <c r="N103" s="21" t="s">
        <v>229</v>
      </c>
      <c r="O103" s="21" t="s">
        <v>350</v>
      </c>
      <c r="P103" s="21" t="s">
        <v>214</v>
      </c>
      <c r="Q103" s="8" t="s">
        <v>375</v>
      </c>
    </row>
    <row r="104" spans="1:17">
      <c r="A104" s="15">
        <v>45444</v>
      </c>
      <c r="B104" s="45" t="s">
        <v>187</v>
      </c>
      <c r="C104" s="13" t="s">
        <v>211</v>
      </c>
      <c r="D104" s="16" t="s">
        <v>212</v>
      </c>
      <c r="E104" s="22" t="s">
        <v>213</v>
      </c>
      <c r="F104" s="17" t="s">
        <v>373</v>
      </c>
      <c r="G104" s="18">
        <v>45444</v>
      </c>
      <c r="H104" s="32">
        <v>4712853.53</v>
      </c>
      <c r="I104" s="50">
        <v>-4712853.53</v>
      </c>
      <c r="J104" s="52">
        <v>-4712.8535300000003</v>
      </c>
      <c r="K104" s="28">
        <v>45496</v>
      </c>
      <c r="L104" s="29" t="s">
        <v>374</v>
      </c>
      <c r="M104" s="35" t="s">
        <v>82</v>
      </c>
      <c r="N104" s="21" t="s">
        <v>191</v>
      </c>
      <c r="O104" s="21" t="s">
        <v>350</v>
      </c>
      <c r="P104" s="21" t="s">
        <v>214</v>
      </c>
      <c r="Q104" s="8" t="s">
        <v>375</v>
      </c>
    </row>
    <row r="105" spans="1:17">
      <c r="A105" s="15">
        <v>45444</v>
      </c>
      <c r="B105" s="45" t="s">
        <v>187</v>
      </c>
      <c r="C105" s="13" t="s">
        <v>211</v>
      </c>
      <c r="D105" s="16" t="s">
        <v>212</v>
      </c>
      <c r="E105" s="22" t="s">
        <v>213</v>
      </c>
      <c r="F105" s="30" t="s">
        <v>376</v>
      </c>
      <c r="G105" s="18">
        <v>45444</v>
      </c>
      <c r="H105" s="32">
        <v>12970.44</v>
      </c>
      <c r="I105" s="50">
        <v>-12970.44</v>
      </c>
      <c r="J105" s="52">
        <v>-12.97044</v>
      </c>
      <c r="K105" s="28">
        <v>45496</v>
      </c>
      <c r="L105" s="29" t="s">
        <v>374</v>
      </c>
      <c r="M105" s="35" t="s">
        <v>82</v>
      </c>
      <c r="N105" s="21" t="s">
        <v>191</v>
      </c>
      <c r="O105" s="21" t="s">
        <v>350</v>
      </c>
      <c r="P105" s="21" t="s">
        <v>214</v>
      </c>
      <c r="Q105" s="8" t="s">
        <v>375</v>
      </c>
    </row>
    <row r="106" spans="1:17">
      <c r="A106" s="15">
        <v>45444</v>
      </c>
      <c r="B106" s="45" t="s">
        <v>187</v>
      </c>
      <c r="C106" s="13" t="s">
        <v>211</v>
      </c>
      <c r="D106" s="16" t="s">
        <v>212</v>
      </c>
      <c r="E106" s="22" t="s">
        <v>213</v>
      </c>
      <c r="F106" s="17" t="s">
        <v>379</v>
      </c>
      <c r="G106" s="18">
        <v>45444</v>
      </c>
      <c r="H106" s="32">
        <v>46083.4</v>
      </c>
      <c r="I106" s="50">
        <v>-46083.4</v>
      </c>
      <c r="J106" s="52">
        <v>-46.083400000000005</v>
      </c>
      <c r="K106" s="28">
        <v>45496</v>
      </c>
      <c r="L106" s="29" t="s">
        <v>374</v>
      </c>
      <c r="M106" s="35" t="s">
        <v>82</v>
      </c>
      <c r="N106" s="21" t="s">
        <v>191</v>
      </c>
      <c r="O106" s="21" t="s">
        <v>350</v>
      </c>
      <c r="P106" s="21" t="s">
        <v>214</v>
      </c>
      <c r="Q106" s="8" t="s">
        <v>375</v>
      </c>
    </row>
    <row r="107" spans="1:17">
      <c r="A107" s="15">
        <v>45444</v>
      </c>
      <c r="B107" s="45" t="s">
        <v>187</v>
      </c>
      <c r="C107" s="13" t="s">
        <v>211</v>
      </c>
      <c r="D107" s="16" t="s">
        <v>212</v>
      </c>
      <c r="E107" s="22" t="s">
        <v>213</v>
      </c>
      <c r="F107" s="17" t="s">
        <v>382</v>
      </c>
      <c r="G107" s="18">
        <v>45444</v>
      </c>
      <c r="H107" s="32">
        <v>94516.479999999996</v>
      </c>
      <c r="I107" s="50">
        <v>-94516.479999999996</v>
      </c>
      <c r="J107" s="52">
        <v>-94.516480000000001</v>
      </c>
      <c r="K107" s="28">
        <v>45496</v>
      </c>
      <c r="L107" s="29" t="s">
        <v>374</v>
      </c>
      <c r="M107" s="35" t="s">
        <v>82</v>
      </c>
      <c r="N107" s="21" t="s">
        <v>191</v>
      </c>
      <c r="O107" s="21" t="s">
        <v>350</v>
      </c>
      <c r="P107" s="21" t="s">
        <v>214</v>
      </c>
      <c r="Q107" s="8" t="s">
        <v>375</v>
      </c>
    </row>
    <row r="108" spans="1:17" hidden="1">
      <c r="A108" s="24">
        <v>45444</v>
      </c>
      <c r="B108" s="49" t="s">
        <v>198</v>
      </c>
      <c r="C108" s="2" t="s">
        <v>264</v>
      </c>
      <c r="D108" s="25" t="s">
        <v>265</v>
      </c>
      <c r="E108" s="26" t="s">
        <v>266</v>
      </c>
      <c r="F108" s="17" t="s">
        <v>373</v>
      </c>
      <c r="G108" s="27">
        <v>45444</v>
      </c>
      <c r="H108" s="32">
        <v>6863960.96</v>
      </c>
      <c r="I108" s="50">
        <v>-6863960.96</v>
      </c>
      <c r="J108" s="52">
        <v>-6863.9609600000003</v>
      </c>
      <c r="K108" s="28">
        <v>45474</v>
      </c>
      <c r="L108" s="29" t="s">
        <v>374</v>
      </c>
      <c r="M108" s="37" t="s">
        <v>104</v>
      </c>
      <c r="N108" s="21" t="s">
        <v>229</v>
      </c>
      <c r="O108" s="21" t="s">
        <v>350</v>
      </c>
      <c r="P108" s="21" t="s">
        <v>251</v>
      </c>
      <c r="Q108" s="8" t="s">
        <v>375</v>
      </c>
    </row>
    <row r="109" spans="1:17" hidden="1">
      <c r="A109" s="24">
        <v>45444</v>
      </c>
      <c r="B109" s="49" t="s">
        <v>198</v>
      </c>
      <c r="C109" s="2" t="s">
        <v>264</v>
      </c>
      <c r="D109" s="25" t="s">
        <v>265</v>
      </c>
      <c r="E109" s="26" t="s">
        <v>266</v>
      </c>
      <c r="F109" s="17" t="s">
        <v>379</v>
      </c>
      <c r="G109" s="27">
        <v>45444</v>
      </c>
      <c r="H109" s="32">
        <v>11401.75</v>
      </c>
      <c r="I109" s="50">
        <v>-11401.75</v>
      </c>
      <c r="J109" s="52">
        <v>-11.40175</v>
      </c>
      <c r="K109" s="28">
        <v>45474</v>
      </c>
      <c r="L109" s="29" t="s">
        <v>374</v>
      </c>
      <c r="M109" s="37" t="s">
        <v>104</v>
      </c>
      <c r="N109" s="21" t="s">
        <v>229</v>
      </c>
      <c r="O109" s="21" t="s">
        <v>350</v>
      </c>
      <c r="P109" s="21" t="s">
        <v>251</v>
      </c>
      <c r="Q109" s="8" t="s">
        <v>375</v>
      </c>
    </row>
    <row r="110" spans="1:17" hidden="1">
      <c r="A110" s="24">
        <v>45444</v>
      </c>
      <c r="B110" s="49" t="s">
        <v>198</v>
      </c>
      <c r="C110" s="2" t="s">
        <v>264</v>
      </c>
      <c r="D110" s="25" t="s">
        <v>265</v>
      </c>
      <c r="E110" s="26" t="s">
        <v>266</v>
      </c>
      <c r="F110" s="30" t="s">
        <v>376</v>
      </c>
      <c r="G110" s="27">
        <v>45444</v>
      </c>
      <c r="H110" s="32">
        <v>5392.01</v>
      </c>
      <c r="I110" s="50">
        <v>-5392.01</v>
      </c>
      <c r="J110" s="52">
        <v>-5.39201</v>
      </c>
      <c r="K110" s="28">
        <v>45474</v>
      </c>
      <c r="L110" s="29" t="s">
        <v>374</v>
      </c>
      <c r="M110" s="37" t="s">
        <v>104</v>
      </c>
      <c r="N110" s="21" t="s">
        <v>229</v>
      </c>
      <c r="O110" s="21" t="s">
        <v>350</v>
      </c>
      <c r="P110" s="21" t="s">
        <v>251</v>
      </c>
      <c r="Q110" s="8" t="s">
        <v>375</v>
      </c>
    </row>
    <row r="111" spans="1:17" hidden="1">
      <c r="A111" s="24">
        <v>45444</v>
      </c>
      <c r="B111" s="49" t="s">
        <v>198</v>
      </c>
      <c r="C111" s="2" t="s">
        <v>264</v>
      </c>
      <c r="D111" s="25" t="s">
        <v>265</v>
      </c>
      <c r="E111" s="26" t="s">
        <v>266</v>
      </c>
      <c r="F111" s="17" t="s">
        <v>382</v>
      </c>
      <c r="G111" s="27">
        <v>45444</v>
      </c>
      <c r="H111" s="32">
        <v>137387.06</v>
      </c>
      <c r="I111" s="50">
        <v>-137387.06</v>
      </c>
      <c r="J111" s="52">
        <v>-137.38705999999999</v>
      </c>
      <c r="K111" s="28">
        <v>45474</v>
      </c>
      <c r="L111" s="29" t="s">
        <v>374</v>
      </c>
      <c r="M111" s="37" t="s">
        <v>104</v>
      </c>
      <c r="N111" s="21" t="s">
        <v>229</v>
      </c>
      <c r="O111" s="21" t="s">
        <v>350</v>
      </c>
      <c r="P111" s="21" t="s">
        <v>251</v>
      </c>
      <c r="Q111" s="8" t="s">
        <v>375</v>
      </c>
    </row>
    <row r="112" spans="1:17" hidden="1">
      <c r="A112" s="24">
        <v>45444</v>
      </c>
      <c r="B112" s="49" t="s">
        <v>198</v>
      </c>
      <c r="C112" s="2" t="s">
        <v>215</v>
      </c>
      <c r="D112" s="25" t="s">
        <v>216</v>
      </c>
      <c r="E112" s="26" t="s">
        <v>277</v>
      </c>
      <c r="F112" s="17" t="s">
        <v>384</v>
      </c>
      <c r="G112" s="27">
        <v>45444</v>
      </c>
      <c r="H112" s="32">
        <v>1655639.92</v>
      </c>
      <c r="I112" s="50">
        <v>-1655639.92</v>
      </c>
      <c r="J112" s="52">
        <v>-1655.6399199999998</v>
      </c>
      <c r="K112" s="28">
        <v>45468</v>
      </c>
      <c r="L112" s="29" t="s">
        <v>374</v>
      </c>
      <c r="M112" s="37" t="s">
        <v>88</v>
      </c>
      <c r="N112" s="21" t="s">
        <v>191</v>
      </c>
      <c r="O112" s="21" t="s">
        <v>350</v>
      </c>
      <c r="P112" s="21" t="s">
        <v>217</v>
      </c>
      <c r="Q112" s="8" t="s">
        <v>375</v>
      </c>
    </row>
    <row r="113" spans="1:17" hidden="1">
      <c r="A113" s="24">
        <v>45444</v>
      </c>
      <c r="B113" s="49" t="s">
        <v>198</v>
      </c>
      <c r="C113" s="2" t="s">
        <v>215</v>
      </c>
      <c r="D113" s="25" t="s">
        <v>216</v>
      </c>
      <c r="E113" s="26" t="s">
        <v>277</v>
      </c>
      <c r="F113" s="17" t="s">
        <v>386</v>
      </c>
      <c r="G113" s="27">
        <v>45444</v>
      </c>
      <c r="H113" s="32">
        <v>1300.5899999999999</v>
      </c>
      <c r="I113" s="50">
        <v>-1300.5899999999999</v>
      </c>
      <c r="J113" s="52">
        <v>-1.3005899999999999</v>
      </c>
      <c r="K113" s="28">
        <v>45468</v>
      </c>
      <c r="L113" s="29" t="s">
        <v>374</v>
      </c>
      <c r="M113" s="37" t="s">
        <v>88</v>
      </c>
      <c r="N113" s="21" t="s">
        <v>191</v>
      </c>
      <c r="O113" s="21" t="s">
        <v>350</v>
      </c>
      <c r="P113" s="21" t="s">
        <v>217</v>
      </c>
      <c r="Q113" s="8" t="s">
        <v>375</v>
      </c>
    </row>
    <row r="114" spans="1:17">
      <c r="A114" s="15">
        <v>45474</v>
      </c>
      <c r="B114" s="45" t="s">
        <v>187</v>
      </c>
      <c r="C114" s="2" t="s">
        <v>324</v>
      </c>
      <c r="D114" s="16" t="s">
        <v>326</v>
      </c>
      <c r="E114" s="22" t="s">
        <v>327</v>
      </c>
      <c r="F114" s="17" t="s">
        <v>373</v>
      </c>
      <c r="G114" s="18">
        <v>45444</v>
      </c>
      <c r="H114" s="32">
        <v>12466567.48</v>
      </c>
      <c r="I114" s="50">
        <v>-12466567.48</v>
      </c>
      <c r="J114" s="52">
        <v>-12466.56748</v>
      </c>
      <c r="K114" s="28">
        <v>45495</v>
      </c>
      <c r="L114" s="29" t="s">
        <v>374</v>
      </c>
      <c r="M114" s="35" t="s">
        <v>101</v>
      </c>
      <c r="N114" s="21" t="s">
        <v>229</v>
      </c>
      <c r="O114" s="21" t="s">
        <v>350</v>
      </c>
      <c r="P114" s="21" t="s">
        <v>325</v>
      </c>
      <c r="Q114" s="8" t="s">
        <v>375</v>
      </c>
    </row>
    <row r="115" spans="1:17">
      <c r="A115" s="15">
        <v>45474</v>
      </c>
      <c r="B115" s="45" t="s">
        <v>187</v>
      </c>
      <c r="C115" s="2" t="s">
        <v>324</v>
      </c>
      <c r="D115" s="16" t="s">
        <v>326</v>
      </c>
      <c r="E115" s="22" t="s">
        <v>327</v>
      </c>
      <c r="F115" s="17" t="s">
        <v>379</v>
      </c>
      <c r="G115" s="18">
        <v>45444</v>
      </c>
      <c r="H115" s="32">
        <v>105345.4</v>
      </c>
      <c r="I115" s="50">
        <v>-105345.4</v>
      </c>
      <c r="J115" s="52">
        <v>-105.3454</v>
      </c>
      <c r="K115" s="28">
        <v>45495</v>
      </c>
      <c r="L115" s="29" t="s">
        <v>374</v>
      </c>
      <c r="M115" s="35" t="s">
        <v>101</v>
      </c>
      <c r="N115" s="21" t="s">
        <v>229</v>
      </c>
      <c r="O115" s="21" t="s">
        <v>350</v>
      </c>
      <c r="P115" s="21" t="s">
        <v>325</v>
      </c>
      <c r="Q115" s="8" t="s">
        <v>375</v>
      </c>
    </row>
    <row r="116" spans="1:17">
      <c r="A116" s="15">
        <v>45474</v>
      </c>
      <c r="B116" s="45" t="s">
        <v>187</v>
      </c>
      <c r="C116" s="2" t="s">
        <v>324</v>
      </c>
      <c r="D116" s="16" t="s">
        <v>326</v>
      </c>
      <c r="E116" s="22" t="s">
        <v>327</v>
      </c>
      <c r="F116" s="17" t="s">
        <v>382</v>
      </c>
      <c r="G116" s="18">
        <v>45444</v>
      </c>
      <c r="H116" s="32">
        <v>249527.21</v>
      </c>
      <c r="I116" s="50">
        <v>-249527.21</v>
      </c>
      <c r="J116" s="52">
        <v>-249.52721</v>
      </c>
      <c r="K116" s="28">
        <v>45495</v>
      </c>
      <c r="L116" s="29" t="s">
        <v>374</v>
      </c>
      <c r="M116" s="35" t="s">
        <v>101</v>
      </c>
      <c r="N116" s="21" t="s">
        <v>229</v>
      </c>
      <c r="O116" s="21" t="s">
        <v>350</v>
      </c>
      <c r="P116" s="21" t="s">
        <v>325</v>
      </c>
      <c r="Q116" s="8" t="s">
        <v>375</v>
      </c>
    </row>
    <row r="117" spans="1:17">
      <c r="A117" s="15">
        <v>45474</v>
      </c>
      <c r="B117" s="45" t="s">
        <v>187</v>
      </c>
      <c r="C117" s="2" t="s">
        <v>324</v>
      </c>
      <c r="D117" s="16" t="s">
        <v>326</v>
      </c>
      <c r="E117" s="22" t="s">
        <v>327</v>
      </c>
      <c r="F117" s="30" t="s">
        <v>376</v>
      </c>
      <c r="G117" s="18">
        <v>45444</v>
      </c>
      <c r="H117" s="32">
        <v>9793.16</v>
      </c>
      <c r="I117" s="50">
        <v>-9793.16</v>
      </c>
      <c r="J117" s="52">
        <v>-9.7931600000000003</v>
      </c>
      <c r="K117" s="28">
        <v>45495</v>
      </c>
      <c r="L117" s="29" t="s">
        <v>374</v>
      </c>
      <c r="M117" s="35" t="s">
        <v>101</v>
      </c>
      <c r="N117" s="21" t="s">
        <v>229</v>
      </c>
      <c r="O117" s="21" t="s">
        <v>350</v>
      </c>
      <c r="P117" s="21" t="s">
        <v>325</v>
      </c>
      <c r="Q117" s="8" t="s">
        <v>375</v>
      </c>
    </row>
    <row r="118" spans="1:17">
      <c r="A118" s="15">
        <v>45597</v>
      </c>
      <c r="B118" s="45" t="s">
        <v>187</v>
      </c>
      <c r="C118" s="13" t="s">
        <v>211</v>
      </c>
      <c r="D118" s="16" t="s">
        <v>212</v>
      </c>
      <c r="E118" s="22" t="s">
        <v>213</v>
      </c>
      <c r="F118" s="30" t="s">
        <v>384</v>
      </c>
      <c r="G118" s="18">
        <v>45626</v>
      </c>
      <c r="H118" s="32">
        <v>772571.08</v>
      </c>
      <c r="I118" s="50">
        <v>-772571.08</v>
      </c>
      <c r="J118" s="52">
        <v>-772.57107999999994</v>
      </c>
      <c r="K118" s="28">
        <v>45639</v>
      </c>
      <c r="L118" s="29" t="s">
        <v>374</v>
      </c>
      <c r="M118" s="35" t="s">
        <v>84</v>
      </c>
      <c r="N118" s="21" t="s">
        <v>176</v>
      </c>
      <c r="O118" s="21" t="s">
        <v>350</v>
      </c>
      <c r="P118" s="21" t="s">
        <v>214</v>
      </c>
      <c r="Q118" s="8" t="s">
        <v>375</v>
      </c>
    </row>
    <row r="119" spans="1:17">
      <c r="A119" s="15">
        <v>45597</v>
      </c>
      <c r="B119" s="45" t="s">
        <v>187</v>
      </c>
      <c r="C119" s="13" t="s">
        <v>211</v>
      </c>
      <c r="D119" s="16" t="s">
        <v>212</v>
      </c>
      <c r="E119" s="22" t="s">
        <v>213</v>
      </c>
      <c r="F119" s="30" t="s">
        <v>389</v>
      </c>
      <c r="G119" s="18">
        <v>45626</v>
      </c>
      <c r="H119" s="32">
        <v>3496.12</v>
      </c>
      <c r="I119" s="50">
        <v>-3496.12</v>
      </c>
      <c r="J119" s="52">
        <v>-3.4961199999999999</v>
      </c>
      <c r="K119" s="28">
        <v>45639</v>
      </c>
      <c r="L119" s="29" t="s">
        <v>374</v>
      </c>
      <c r="M119" s="35" t="s">
        <v>84</v>
      </c>
      <c r="N119" s="21" t="s">
        <v>176</v>
      </c>
      <c r="O119" s="21" t="s">
        <v>350</v>
      </c>
      <c r="P119" s="21" t="s">
        <v>214</v>
      </c>
      <c r="Q119" s="8" t="s">
        <v>375</v>
      </c>
    </row>
    <row r="120" spans="1:17">
      <c r="A120" s="15">
        <v>45597</v>
      </c>
      <c r="B120" s="45" t="s">
        <v>187</v>
      </c>
      <c r="C120" s="13" t="s">
        <v>211</v>
      </c>
      <c r="D120" s="16" t="s">
        <v>212</v>
      </c>
      <c r="E120" s="22" t="s">
        <v>213</v>
      </c>
      <c r="F120" s="30" t="s">
        <v>390</v>
      </c>
      <c r="G120" s="18">
        <v>45626</v>
      </c>
      <c r="H120" s="32">
        <v>15451.42</v>
      </c>
      <c r="I120" s="50">
        <v>-15451.42</v>
      </c>
      <c r="J120" s="52">
        <v>-15.451420000000001</v>
      </c>
      <c r="K120" s="28">
        <v>45639</v>
      </c>
      <c r="L120" s="29" t="s">
        <v>374</v>
      </c>
      <c r="M120" s="35" t="s">
        <v>84</v>
      </c>
      <c r="N120" s="21" t="s">
        <v>176</v>
      </c>
      <c r="O120" s="21" t="s">
        <v>350</v>
      </c>
      <c r="P120" s="21" t="s">
        <v>214</v>
      </c>
      <c r="Q120" s="8" t="s">
        <v>375</v>
      </c>
    </row>
    <row r="121" spans="1:17" hidden="1">
      <c r="A121" s="15">
        <v>45992</v>
      </c>
      <c r="B121" s="45" t="s">
        <v>198</v>
      </c>
      <c r="C121" s="2" t="s">
        <v>199</v>
      </c>
      <c r="D121" s="13" t="s">
        <v>200</v>
      </c>
      <c r="E121" s="17" t="s">
        <v>201</v>
      </c>
      <c r="F121" s="22" t="s">
        <v>373</v>
      </c>
      <c r="G121" s="18">
        <v>45992</v>
      </c>
      <c r="H121" s="32">
        <v>6730971.4500000002</v>
      </c>
      <c r="I121" s="50">
        <v>-6730971.4500000002</v>
      </c>
      <c r="J121" s="52">
        <v>-6730.97145</v>
      </c>
      <c r="K121" s="28">
        <v>46020</v>
      </c>
      <c r="L121" s="29" t="s">
        <v>374</v>
      </c>
      <c r="M121" s="38" t="s">
        <v>39</v>
      </c>
      <c r="N121" s="21" t="s">
        <v>237</v>
      </c>
      <c r="O121" s="21" t="s">
        <v>350</v>
      </c>
      <c r="P121" s="21" t="s">
        <v>203</v>
      </c>
      <c r="Q121" s="8" t="s">
        <v>375</v>
      </c>
    </row>
    <row r="122" spans="1:17" hidden="1">
      <c r="A122" s="15">
        <v>45992</v>
      </c>
      <c r="B122" s="45" t="s">
        <v>198</v>
      </c>
      <c r="C122" s="2" t="s">
        <v>199</v>
      </c>
      <c r="D122" s="13" t="s">
        <v>200</v>
      </c>
      <c r="E122" s="17" t="s">
        <v>201</v>
      </c>
      <c r="F122" s="22" t="s">
        <v>376</v>
      </c>
      <c r="G122" s="18">
        <v>45992</v>
      </c>
      <c r="H122" s="32">
        <v>930304.45</v>
      </c>
      <c r="I122" s="50">
        <v>-930304.45</v>
      </c>
      <c r="J122" s="52">
        <v>-930.30444999999997</v>
      </c>
      <c r="K122" s="28">
        <v>46020</v>
      </c>
      <c r="L122" s="29" t="s">
        <v>374</v>
      </c>
      <c r="M122" s="38" t="s">
        <v>39</v>
      </c>
      <c r="N122" s="21" t="s">
        <v>237</v>
      </c>
      <c r="O122" s="21" t="s">
        <v>350</v>
      </c>
      <c r="P122" s="21" t="s">
        <v>203</v>
      </c>
      <c r="Q122" s="8" t="s">
        <v>375</v>
      </c>
    </row>
    <row r="123" spans="1:17">
      <c r="A123" s="15">
        <v>45992</v>
      </c>
      <c r="B123" s="45" t="s">
        <v>187</v>
      </c>
      <c r="C123" s="13" t="s">
        <v>211</v>
      </c>
      <c r="D123" s="13" t="s">
        <v>212</v>
      </c>
      <c r="E123" s="17" t="s">
        <v>213</v>
      </c>
      <c r="F123" s="22" t="s">
        <v>373</v>
      </c>
      <c r="G123" s="18">
        <v>45992</v>
      </c>
      <c r="H123" s="32">
        <v>3993081.34</v>
      </c>
      <c r="I123" s="50">
        <v>-3993081.34</v>
      </c>
      <c r="J123" s="52">
        <v>-3993.0813399999997</v>
      </c>
      <c r="K123" s="28">
        <v>46017</v>
      </c>
      <c r="L123" s="29" t="s">
        <v>374</v>
      </c>
      <c r="M123" s="38" t="s">
        <v>89</v>
      </c>
      <c r="N123" s="21" t="s">
        <v>202</v>
      </c>
      <c r="O123" s="21" t="s">
        <v>350</v>
      </c>
      <c r="P123" s="21" t="s">
        <v>214</v>
      </c>
      <c r="Q123" s="8" t="s">
        <v>375</v>
      </c>
    </row>
    <row r="124" spans="1:17">
      <c r="A124" s="15">
        <v>45992</v>
      </c>
      <c r="B124" s="45" t="s">
        <v>187</v>
      </c>
      <c r="C124" s="13" t="s">
        <v>211</v>
      </c>
      <c r="D124" s="13" t="s">
        <v>212</v>
      </c>
      <c r="E124" s="17" t="s">
        <v>213</v>
      </c>
      <c r="F124" s="22" t="s">
        <v>376</v>
      </c>
      <c r="G124" s="18">
        <v>45992</v>
      </c>
      <c r="H124" s="32">
        <v>1037879.07</v>
      </c>
      <c r="I124" s="50">
        <v>-1037879.07</v>
      </c>
      <c r="J124" s="52">
        <v>-1037.87907</v>
      </c>
      <c r="K124" s="28">
        <v>46017</v>
      </c>
      <c r="L124" s="29" t="s">
        <v>374</v>
      </c>
      <c r="M124" s="38" t="s">
        <v>89</v>
      </c>
      <c r="N124" s="21" t="s">
        <v>202</v>
      </c>
      <c r="O124" s="21" t="s">
        <v>350</v>
      </c>
      <c r="P124" s="21" t="s">
        <v>214</v>
      </c>
      <c r="Q124" s="8" t="s">
        <v>375</v>
      </c>
    </row>
    <row r="125" spans="1:17" hidden="1">
      <c r="A125" s="15">
        <v>45992</v>
      </c>
      <c r="B125" s="45" t="s">
        <v>198</v>
      </c>
      <c r="C125" s="2" t="s">
        <v>205</v>
      </c>
      <c r="D125" s="13" t="s">
        <v>206</v>
      </c>
      <c r="E125" s="17" t="s">
        <v>207</v>
      </c>
      <c r="F125" s="22" t="s">
        <v>373</v>
      </c>
      <c r="G125" s="18">
        <v>45992</v>
      </c>
      <c r="H125" s="32">
        <v>24546506.98</v>
      </c>
      <c r="I125" s="50">
        <v>-24546506.98</v>
      </c>
      <c r="J125" s="52">
        <v>-24546.506980000002</v>
      </c>
      <c r="K125" s="28">
        <v>46020</v>
      </c>
      <c r="L125" s="29" t="s">
        <v>374</v>
      </c>
      <c r="M125" s="38" t="s">
        <v>40</v>
      </c>
      <c r="N125" s="21" t="s">
        <v>237</v>
      </c>
      <c r="O125" s="21" t="s">
        <v>350</v>
      </c>
      <c r="P125" s="21" t="s">
        <v>209</v>
      </c>
      <c r="Q125" s="8" t="s">
        <v>375</v>
      </c>
    </row>
    <row r="126" spans="1:17" hidden="1">
      <c r="A126" s="15">
        <v>45992</v>
      </c>
      <c r="B126" s="45" t="s">
        <v>198</v>
      </c>
      <c r="C126" s="2" t="s">
        <v>205</v>
      </c>
      <c r="D126" s="13" t="s">
        <v>206</v>
      </c>
      <c r="E126" s="17" t="s">
        <v>207</v>
      </c>
      <c r="F126" s="22" t="s">
        <v>376</v>
      </c>
      <c r="G126" s="18">
        <v>45992</v>
      </c>
      <c r="H126" s="32">
        <v>3392634.29</v>
      </c>
      <c r="I126" s="50">
        <v>-3392634.29</v>
      </c>
      <c r="J126" s="52">
        <v>-3392.63429</v>
      </c>
      <c r="K126" s="28">
        <v>46020</v>
      </c>
      <c r="L126" s="29" t="s">
        <v>374</v>
      </c>
      <c r="M126" s="38" t="s">
        <v>40</v>
      </c>
      <c r="N126" s="21" t="s">
        <v>237</v>
      </c>
      <c r="O126" s="21" t="s">
        <v>350</v>
      </c>
      <c r="P126" s="21" t="s">
        <v>209</v>
      </c>
      <c r="Q126" s="8" t="s">
        <v>375</v>
      </c>
    </row>
    <row r="127" spans="1:17">
      <c r="A127" s="15">
        <v>46054</v>
      </c>
      <c r="B127" s="45" t="s">
        <v>187</v>
      </c>
      <c r="C127" s="2" t="s">
        <v>278</v>
      </c>
      <c r="D127" s="13" t="s">
        <v>279</v>
      </c>
      <c r="E127" s="17" t="s">
        <v>280</v>
      </c>
      <c r="F127" s="22" t="s">
        <v>373</v>
      </c>
      <c r="G127" s="18">
        <v>46054</v>
      </c>
      <c r="H127" s="32">
        <v>2331216</v>
      </c>
      <c r="I127" s="32">
        <v>-2331216</v>
      </c>
      <c r="J127" s="52">
        <v>-2331.2159999999999</v>
      </c>
      <c r="K127" s="28">
        <v>46069</v>
      </c>
      <c r="L127" s="29" t="s">
        <v>374</v>
      </c>
      <c r="M127" s="38" t="s">
        <v>38</v>
      </c>
      <c r="N127" s="21" t="s">
        <v>330</v>
      </c>
      <c r="O127" s="21" t="s">
        <v>350</v>
      </c>
      <c r="P127" s="21" t="s">
        <v>281</v>
      </c>
      <c r="Q127" s="8" t="s">
        <v>375</v>
      </c>
    </row>
    <row r="128" spans="1:17">
      <c r="A128" s="15">
        <v>46054</v>
      </c>
      <c r="B128" s="45" t="s">
        <v>187</v>
      </c>
      <c r="C128" s="2" t="s">
        <v>278</v>
      </c>
      <c r="D128" s="13" t="s">
        <v>279</v>
      </c>
      <c r="E128" s="17" t="s">
        <v>280</v>
      </c>
      <c r="F128" s="22" t="s">
        <v>376</v>
      </c>
      <c r="G128" s="18">
        <v>46054</v>
      </c>
      <c r="H128" s="32">
        <v>173162.43</v>
      </c>
      <c r="I128" s="32">
        <v>-173162.43</v>
      </c>
      <c r="J128" s="52">
        <v>-173.16243</v>
      </c>
      <c r="K128" s="28">
        <v>46069</v>
      </c>
      <c r="L128" s="29" t="s">
        <v>374</v>
      </c>
      <c r="M128" s="38" t="s">
        <v>38</v>
      </c>
      <c r="N128" s="21" t="s">
        <v>330</v>
      </c>
      <c r="O128" s="21" t="s">
        <v>350</v>
      </c>
      <c r="P128" s="21" t="s">
        <v>281</v>
      </c>
      <c r="Q128" s="8" t="s">
        <v>375</v>
      </c>
    </row>
  </sheetData>
  <autoFilter ref="A1:Q128" xr:uid="{E6D30EB1-4E4B-4E64-97E0-7C141A0AF265}">
    <filterColumn colId="1">
      <filters>
        <filter val="EQUATORIAL"/>
      </filters>
    </filterColumn>
  </autoFilter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A8AA85EE88314286259C57CE282C9E" ma:contentTypeVersion="14" ma:contentTypeDescription="Crie um novo documento." ma:contentTypeScope="" ma:versionID="bd6ae44803e0ccf93cb56d54c5571243">
  <xsd:schema xmlns:xsd="http://www.w3.org/2001/XMLSchema" xmlns:xs="http://www.w3.org/2001/XMLSchema" xmlns:p="http://schemas.microsoft.com/office/2006/metadata/properties" xmlns:ns2="7731478f-257e-42d2-aac5-d6f0cf8b2695" xmlns:ns3="8d64ecdf-3a1c-4de2-affd-8de3229a396d" targetNamespace="http://schemas.microsoft.com/office/2006/metadata/properties" ma:root="true" ma:fieldsID="1bbbd2c2a9308147bea7b812a994bd3a" ns2:_="" ns3:_="">
    <xsd:import namespace="7731478f-257e-42d2-aac5-d6f0cf8b2695"/>
    <xsd:import namespace="8d64ecdf-3a1c-4de2-affd-8de3229a396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1478f-257e-42d2-aac5-d6f0cf8b26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dca3987-e3cd-4c43-b600-3891fdff3f3f}" ma:internalName="TaxCatchAll" ma:showField="CatchAllData" ma:web="7731478f-257e-42d2-aac5-d6f0cf8b26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ecdf-3a1c-4de2-affd-8de3229a3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5835187a-a473-41ac-a4ea-1c7fdfdb5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1" nillable="true" ma:displayName="Status de liberação" ma:format="Dropdown" ma:internalName="Status_x0020_de_x0020_libera_x00e7__x00e3_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64ecdf-3a1c-4de2-affd-8de3229a396d">
      <Terms xmlns="http://schemas.microsoft.com/office/infopath/2007/PartnerControls"/>
    </lcf76f155ced4ddcb4097134ff3c332f>
    <_Flow_SignoffStatus xmlns="8d64ecdf-3a1c-4de2-affd-8de3229a396d" xsi:nil="true"/>
    <TaxCatchAll xmlns="7731478f-257e-42d2-aac5-d6f0cf8b2695" xsi:nil="true"/>
  </documentManagement>
</p:properties>
</file>

<file path=customXml/itemProps1.xml><?xml version="1.0" encoding="utf-8"?>
<ds:datastoreItem xmlns:ds="http://schemas.openxmlformats.org/officeDocument/2006/customXml" ds:itemID="{88FACA6C-8638-4355-8116-95A78362C277}"/>
</file>

<file path=customXml/itemProps2.xml><?xml version="1.0" encoding="utf-8"?>
<ds:datastoreItem xmlns:ds="http://schemas.openxmlformats.org/officeDocument/2006/customXml" ds:itemID="{0223F855-BABF-477E-8328-97C2BC3A99D4}"/>
</file>

<file path=customXml/itemProps3.xml><?xml version="1.0" encoding="utf-8"?>
<ds:datastoreItem xmlns:ds="http://schemas.openxmlformats.org/officeDocument/2006/customXml" ds:itemID="{CE902103-BA59-48D8-B867-AE8B5E7B9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de Almeida Lima Junior</dc:creator>
  <cp:keywords/>
  <dc:description/>
  <cp:lastModifiedBy>Giovanni Azevedo Charret</cp:lastModifiedBy>
  <cp:revision/>
  <dcterms:created xsi:type="dcterms:W3CDTF">2026-03-26T19:49:04Z</dcterms:created>
  <dcterms:modified xsi:type="dcterms:W3CDTF">2026-05-22T14:32:33Z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2026-03-26T19:50:57Z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c1b68be2-b587-42aa-96e5-81999ae868c3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0x010100EEA8AA85EE88314286259C57CE282C9E</vt:lpwstr>
  </property>
  <property fmtid="{D5CDD505-2E9C-101B-9397-08002B2CF9AE}" pid="11" name="MediaServiceImageTags">
    <vt:lpwstr/>
  </property>
</Properties>
</file>